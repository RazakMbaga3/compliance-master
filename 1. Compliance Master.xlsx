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t Head\"/>
    </mc:Choice>
  </mc:AlternateContent>
  <xr:revisionPtr revIDLastSave="0" documentId="13_ncr:1_{FAD7ACD2-88CA-4138-AF43-F4D5E790DC95}" xr6:coauthVersionLast="47" xr6:coauthVersionMax="47" xr10:uidLastSave="{00000000-0000-0000-0000-000000000000}"/>
  <bookViews>
    <workbookView xWindow="-120" yWindow="-120" windowWidth="20730" windowHeight="11160" tabRatio="839" firstSheet="5" activeTab="5" xr2:uid="{00000000-000D-0000-FFFF-FFFF00000000}"/>
  </bookViews>
  <sheets>
    <sheet name="HO" sheetId="4" state="hidden" r:id="rId1"/>
    <sheet name="Land &amp; Mining" sheetId="5" state="hidden" r:id="rId2"/>
    <sheet name="Plant" sheetId="10" state="hidden" r:id="rId3"/>
    <sheet name="BRL" sheetId="12" state="hidden" r:id="rId4"/>
    <sheet name="UCL" sheetId="13" state="hidden" r:id="rId5"/>
    <sheet name="Compliance Master - Operations" sheetId="14" r:id="rId6"/>
    <sheet name="Compliance Matser - Mining" sheetId="21" r:id="rId7"/>
    <sheet name="MASTER (2)" sheetId="15" state="hidden" r:id="rId8"/>
  </sheets>
  <definedNames>
    <definedName name="_xlnm._FilterDatabase" localSheetId="5" hidden="1">'Compliance Master - Operations'!$A$3:$Q$173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52" i="15" l="1"/>
  <c r="K651" i="15"/>
  <c r="K650" i="15"/>
  <c r="K649" i="15"/>
  <c r="K648" i="15"/>
  <c r="A648" i="15"/>
  <c r="A649" i="15" s="1"/>
  <c r="A650" i="15" s="1"/>
  <c r="A651" i="15" s="1"/>
  <c r="A652" i="15" s="1"/>
  <c r="K647" i="15"/>
  <c r="K645" i="15"/>
  <c r="K644" i="15"/>
  <c r="K643" i="15"/>
  <c r="K642" i="15"/>
  <c r="K641" i="15"/>
  <c r="K640" i="15"/>
  <c r="K639" i="15"/>
  <c r="K638" i="15"/>
  <c r="K637" i="15"/>
  <c r="K636" i="15"/>
  <c r="K635" i="15"/>
  <c r="K634" i="15"/>
  <c r="K633" i="15"/>
  <c r="K632" i="15"/>
  <c r="K631" i="15"/>
  <c r="K630" i="15"/>
  <c r="K629" i="15"/>
  <c r="K628" i="15"/>
  <c r="K627" i="15"/>
  <c r="K626" i="15"/>
  <c r="K625" i="15"/>
  <c r="K624" i="15"/>
  <c r="K623" i="15"/>
  <c r="K622" i="15"/>
  <c r="K621" i="15"/>
  <c r="K620" i="15"/>
  <c r="K619" i="15"/>
  <c r="K618" i="15"/>
  <c r="K617" i="15"/>
  <c r="K616" i="15"/>
  <c r="K615" i="15"/>
  <c r="K614" i="15"/>
  <c r="K613" i="15"/>
  <c r="K612" i="15"/>
  <c r="K611" i="15"/>
  <c r="K610" i="15"/>
  <c r="K609" i="15"/>
  <c r="K608" i="15"/>
  <c r="K607" i="15"/>
  <c r="K606" i="15"/>
  <c r="K605" i="15"/>
  <c r="K604" i="15"/>
  <c r="K603" i="15"/>
  <c r="K602" i="15"/>
  <c r="K601" i="15"/>
  <c r="K600" i="15"/>
  <c r="K599" i="15"/>
  <c r="K598" i="15"/>
  <c r="K597" i="15"/>
  <c r="K596" i="15"/>
  <c r="K595" i="15"/>
  <c r="K594" i="15"/>
  <c r="K593" i="15"/>
  <c r="K592" i="15"/>
  <c r="K591" i="15"/>
  <c r="K590" i="15"/>
  <c r="K589" i="15"/>
  <c r="K588" i="15"/>
  <c r="K587" i="15"/>
  <c r="K586" i="15"/>
  <c r="K585" i="15"/>
  <c r="K584" i="15"/>
  <c r="K583" i="15"/>
  <c r="K582" i="15"/>
  <c r="K581" i="15"/>
  <c r="K580" i="15"/>
  <c r="K579" i="15"/>
  <c r="K578" i="15"/>
  <c r="K577" i="15"/>
  <c r="K576" i="15"/>
  <c r="K575" i="15"/>
  <c r="K574" i="15"/>
  <c r="K573" i="15"/>
  <c r="K572" i="15"/>
  <c r="K571" i="15"/>
  <c r="K570" i="15"/>
  <c r="A570" i="15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K569" i="15"/>
  <c r="A524" i="15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471" i="15"/>
  <c r="A472" i="15" s="1"/>
  <c r="A473" i="15" s="1"/>
  <c r="A477" i="15" s="1"/>
  <c r="A463" i="15"/>
  <c r="A464" i="15" s="1"/>
  <c r="A465" i="15" s="1"/>
  <c r="A466" i="15" s="1"/>
  <c r="A467" i="15" s="1"/>
  <c r="A468" i="15" s="1"/>
  <c r="A448" i="15"/>
  <c r="A450" i="15" s="1"/>
  <c r="A453" i="15" s="1"/>
  <c r="A454" i="15" s="1"/>
  <c r="A455" i="15" s="1"/>
  <c r="A456" i="15" s="1"/>
  <c r="A457" i="15" s="1"/>
  <c r="K444" i="15"/>
  <c r="K443" i="15"/>
  <c r="K442" i="15"/>
  <c r="K441" i="15"/>
  <c r="K440" i="15"/>
  <c r="A440" i="15"/>
  <c r="A441" i="15" s="1"/>
  <c r="A442" i="15" s="1"/>
  <c r="A443" i="15" s="1"/>
  <c r="A444" i="15" s="1"/>
  <c r="K439" i="15"/>
  <c r="A438" i="15"/>
  <c r="N435" i="15"/>
  <c r="N434" i="15"/>
  <c r="N433" i="15"/>
  <c r="N432" i="15"/>
  <c r="N431" i="15"/>
  <c r="N430" i="15"/>
  <c r="N429" i="15"/>
  <c r="L429" i="15"/>
  <c r="N428" i="15"/>
  <c r="L428" i="15"/>
  <c r="N427" i="15"/>
  <c r="L427" i="15"/>
  <c r="N426" i="15"/>
  <c r="L426" i="15"/>
  <c r="N425" i="15"/>
  <c r="L425" i="15"/>
  <c r="N424" i="15"/>
  <c r="L424" i="15"/>
  <c r="N423" i="15"/>
  <c r="L423" i="15"/>
  <c r="N422" i="15"/>
  <c r="L422" i="15"/>
  <c r="N421" i="15"/>
  <c r="L421" i="15"/>
  <c r="N420" i="15"/>
  <c r="L420" i="15"/>
  <c r="N419" i="15"/>
  <c r="L419" i="15"/>
  <c r="N418" i="15"/>
  <c r="L418" i="15"/>
  <c r="N417" i="15"/>
  <c r="L417" i="15"/>
  <c r="N416" i="15"/>
  <c r="L416" i="15"/>
  <c r="N415" i="15"/>
  <c r="L415" i="15"/>
  <c r="N414" i="15"/>
  <c r="L414" i="15"/>
  <c r="N413" i="15"/>
  <c r="L413" i="15"/>
  <c r="N412" i="15"/>
  <c r="L412" i="15"/>
  <c r="N411" i="15"/>
  <c r="L411" i="15"/>
  <c r="N410" i="15"/>
  <c r="L410" i="15"/>
  <c r="N409" i="15"/>
  <c r="L409" i="15"/>
  <c r="N408" i="15"/>
  <c r="L408" i="15"/>
  <c r="N407" i="15"/>
  <c r="L407" i="15"/>
  <c r="N406" i="15"/>
  <c r="L406" i="15"/>
  <c r="N405" i="15"/>
  <c r="L405" i="15"/>
  <c r="N404" i="15"/>
  <c r="L404" i="15"/>
  <c r="N402" i="15"/>
  <c r="L402" i="15"/>
  <c r="N401" i="15"/>
  <c r="L401" i="15"/>
  <c r="N400" i="15"/>
  <c r="L400" i="15"/>
  <c r="N399" i="15"/>
  <c r="N398" i="15"/>
  <c r="N397" i="15"/>
  <c r="N396" i="15"/>
  <c r="N395" i="15"/>
  <c r="N394" i="15"/>
  <c r="N393" i="15"/>
  <c r="N392" i="15"/>
  <c r="N391" i="15"/>
  <c r="N390" i="15"/>
  <c r="N389" i="15"/>
  <c r="N388" i="15"/>
  <c r="N387" i="15"/>
  <c r="N386" i="15"/>
  <c r="N385" i="15"/>
  <c r="N384" i="15"/>
  <c r="N383" i="15"/>
  <c r="N382" i="15"/>
  <c r="N381" i="15"/>
  <c r="N380" i="15"/>
  <c r="N379" i="15"/>
  <c r="N378" i="15"/>
  <c r="N377" i="15"/>
  <c r="N376" i="15"/>
  <c r="N375" i="15"/>
  <c r="N374" i="15"/>
  <c r="N373" i="15"/>
  <c r="N372" i="15"/>
  <c r="N371" i="15"/>
  <c r="N370" i="15"/>
  <c r="N369" i="15"/>
  <c r="N368" i="15"/>
  <c r="N367" i="15"/>
  <c r="N366" i="15"/>
  <c r="N365" i="15"/>
  <c r="N364" i="15"/>
  <c r="N363" i="15"/>
  <c r="N362" i="15"/>
  <c r="N361" i="15"/>
  <c r="N360" i="15"/>
  <c r="N359" i="15"/>
  <c r="N358" i="15"/>
  <c r="N357" i="15"/>
  <c r="N356" i="15"/>
  <c r="N355" i="15"/>
  <c r="N354" i="15"/>
  <c r="N353" i="15"/>
  <c r="N352" i="15"/>
  <c r="N351" i="15"/>
  <c r="N350" i="15"/>
  <c r="N349" i="15"/>
  <c r="N348" i="15"/>
  <c r="N347" i="15"/>
  <c r="N346" i="15"/>
  <c r="N345" i="15"/>
  <c r="N344" i="15"/>
  <c r="N343" i="15"/>
  <c r="N342" i="15"/>
  <c r="N341" i="15"/>
  <c r="N340" i="15"/>
  <c r="N339" i="15"/>
  <c r="N338" i="15"/>
  <c r="N337" i="15"/>
  <c r="N336" i="15"/>
  <c r="N335" i="15"/>
  <c r="N334" i="15"/>
  <c r="N333" i="15"/>
  <c r="N332" i="15"/>
  <c r="N331" i="15"/>
  <c r="N330" i="15"/>
  <c r="N329" i="15"/>
  <c r="N328" i="15"/>
  <c r="N327" i="15"/>
  <c r="N326" i="15"/>
  <c r="N325" i="15"/>
  <c r="N324" i="15"/>
  <c r="N323" i="15"/>
  <c r="N322" i="15"/>
  <c r="N321" i="15"/>
  <c r="N320" i="15"/>
  <c r="N319" i="15"/>
  <c r="N318" i="15"/>
  <c r="N317" i="15"/>
  <c r="N316" i="15"/>
  <c r="N315" i="15"/>
  <c r="N314" i="15"/>
  <c r="N313" i="15"/>
  <c r="N312" i="15"/>
  <c r="N311" i="15"/>
  <c r="N310" i="15"/>
  <c r="N309" i="15"/>
  <c r="N308" i="15"/>
  <c r="N307" i="15"/>
  <c r="N306" i="15"/>
  <c r="N305" i="15"/>
  <c r="N304" i="15"/>
  <c r="N303" i="15"/>
  <c r="N302" i="15"/>
  <c r="N301" i="15"/>
  <c r="N300" i="15"/>
  <c r="N299" i="15"/>
  <c r="N298" i="15"/>
  <c r="N297" i="15"/>
  <c r="N296" i="15"/>
  <c r="N295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N268" i="15"/>
  <c r="N267" i="15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L225" i="15"/>
  <c r="N224" i="15"/>
  <c r="L224" i="15"/>
  <c r="N223" i="15"/>
  <c r="L223" i="15"/>
  <c r="N222" i="15"/>
  <c r="L222" i="15"/>
  <c r="N221" i="15"/>
  <c r="L221" i="15"/>
  <c r="N220" i="15"/>
  <c r="L220" i="15"/>
  <c r="N219" i="15"/>
  <c r="L219" i="15"/>
  <c r="N218" i="15"/>
  <c r="L218" i="15"/>
  <c r="N217" i="15"/>
  <c r="L217" i="15"/>
  <c r="N216" i="15"/>
  <c r="L216" i="15"/>
  <c r="N215" i="15"/>
  <c r="L215" i="15"/>
  <c r="N214" i="15"/>
  <c r="L214" i="15"/>
  <c r="N213" i="15"/>
  <c r="L213" i="15"/>
  <c r="N212" i="15"/>
  <c r="L212" i="15"/>
  <c r="N211" i="15"/>
  <c r="L211" i="15"/>
  <c r="N210" i="15"/>
  <c r="L210" i="15"/>
  <c r="N209" i="15"/>
  <c r="L209" i="15"/>
  <c r="N208" i="15"/>
  <c r="L208" i="15"/>
  <c r="N207" i="15"/>
  <c r="L207" i="15"/>
  <c r="N206" i="15"/>
  <c r="L206" i="15"/>
  <c r="N205" i="15"/>
  <c r="L205" i="15"/>
  <c r="N204" i="15"/>
  <c r="L204" i="15"/>
  <c r="N203" i="15"/>
  <c r="L203" i="15"/>
  <c r="N202" i="15"/>
  <c r="L202" i="15"/>
  <c r="N201" i="15"/>
  <c r="L201" i="15"/>
  <c r="N200" i="15"/>
  <c r="L200" i="15"/>
  <c r="N199" i="15"/>
  <c r="L199" i="15"/>
  <c r="N198" i="15"/>
  <c r="L198" i="15"/>
  <c r="N197" i="15"/>
  <c r="L197" i="15"/>
  <c r="N196" i="15"/>
  <c r="L196" i="15"/>
  <c r="N195" i="15"/>
  <c r="L195" i="15"/>
  <c r="N194" i="15"/>
  <c r="L194" i="15"/>
  <c r="N193" i="15"/>
  <c r="L193" i="15"/>
  <c r="N192" i="15"/>
  <c r="L192" i="15"/>
  <c r="N191" i="15"/>
  <c r="L191" i="15"/>
  <c r="N190" i="15"/>
  <c r="L190" i="15"/>
  <c r="N189" i="15"/>
  <c r="L189" i="15"/>
  <c r="N188" i="15"/>
  <c r="L188" i="15"/>
  <c r="N187" i="15"/>
  <c r="L187" i="15"/>
  <c r="N186" i="15"/>
  <c r="L186" i="15"/>
  <c r="N185" i="15"/>
  <c r="L185" i="15"/>
  <c r="N184" i="15"/>
  <c r="L184" i="15"/>
  <c r="N183" i="15"/>
  <c r="L183" i="15"/>
  <c r="N182" i="15"/>
  <c r="L182" i="15"/>
  <c r="N181" i="15"/>
  <c r="L181" i="15"/>
  <c r="N180" i="15"/>
  <c r="L180" i="15"/>
  <c r="N179" i="15"/>
  <c r="L179" i="15"/>
  <c r="N178" i="15"/>
  <c r="L178" i="15"/>
  <c r="N177" i="15"/>
  <c r="L177" i="15"/>
  <c r="N176" i="15"/>
  <c r="L176" i="15"/>
  <c r="N175" i="15"/>
  <c r="L175" i="15"/>
  <c r="N174" i="15"/>
  <c r="L174" i="15"/>
  <c r="N173" i="15"/>
  <c r="L173" i="15"/>
  <c r="N172" i="15"/>
  <c r="L172" i="15"/>
  <c r="N171" i="15"/>
  <c r="L171" i="15"/>
  <c r="N170" i="15"/>
  <c r="L170" i="15"/>
  <c r="N169" i="15"/>
  <c r="L169" i="15"/>
  <c r="N168" i="15"/>
  <c r="L168" i="15"/>
  <c r="N167" i="15"/>
  <c r="L167" i="15"/>
  <c r="N166" i="15"/>
  <c r="L166" i="15"/>
  <c r="N165" i="15"/>
  <c r="L165" i="15"/>
  <c r="N164" i="15"/>
  <c r="L164" i="15"/>
  <c r="N163" i="15"/>
  <c r="L163" i="15"/>
  <c r="N162" i="15"/>
  <c r="L162" i="15"/>
  <c r="N161" i="15"/>
  <c r="L161" i="15"/>
  <c r="N160" i="15"/>
  <c r="L160" i="15"/>
  <c r="N159" i="15"/>
  <c r="L159" i="15"/>
  <c r="N158" i="15"/>
  <c r="L158" i="15"/>
  <c r="N157" i="15"/>
  <c r="L157" i="15"/>
  <c r="N156" i="15"/>
  <c r="L156" i="15"/>
  <c r="N155" i="15"/>
  <c r="L155" i="15"/>
  <c r="N154" i="15"/>
  <c r="L154" i="15"/>
  <c r="N153" i="15"/>
  <c r="L153" i="15"/>
  <c r="N152" i="15"/>
  <c r="L152" i="15"/>
  <c r="N151" i="15"/>
  <c r="L151" i="15"/>
  <c r="N150" i="15"/>
  <c r="L150" i="15"/>
  <c r="N149" i="15"/>
  <c r="L149" i="15"/>
  <c r="N148" i="15"/>
  <c r="L148" i="15"/>
  <c r="N147" i="15"/>
  <c r="L147" i="15"/>
  <c r="N146" i="15"/>
  <c r="L146" i="15"/>
  <c r="N145" i="15"/>
  <c r="L145" i="15"/>
  <c r="N144" i="15"/>
  <c r="L144" i="15"/>
  <c r="N143" i="15"/>
  <c r="L143" i="15"/>
  <c r="N142" i="15"/>
  <c r="L142" i="15"/>
  <c r="N141" i="15"/>
  <c r="L141" i="15"/>
  <c r="N140" i="15"/>
  <c r="L140" i="15"/>
  <c r="N139" i="15"/>
  <c r="L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A52" i="15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51" i="15"/>
  <c r="N50" i="15"/>
  <c r="A29" i="15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14" i="15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13" i="15"/>
  <c r="A6" i="15"/>
  <c r="A7" i="15" s="1"/>
  <c r="A8" i="15" s="1"/>
  <c r="A9" i="15" s="1"/>
  <c r="A10" i="15" s="1"/>
  <c r="A458" i="15" l="1"/>
  <c r="A460" i="15" s="1"/>
  <c r="A459" i="15"/>
  <c r="A130" i="14" l="1"/>
  <c r="A131" i="14" s="1"/>
  <c r="A132" i="14" s="1"/>
  <c r="A118" i="14"/>
  <c r="A119" i="14" s="1"/>
  <c r="A120" i="14" s="1"/>
  <c r="A121" i="14" s="1"/>
  <c r="A122" i="14" s="1"/>
  <c r="A123" i="14" s="1"/>
  <c r="A86" i="14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51" i="14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D10" i="5" l="1"/>
  <c r="E10" i="5" s="1"/>
  <c r="D9" i="5"/>
  <c r="E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DELL1</author>
    <author>Hp</author>
  </authors>
  <commentList>
    <comment ref="G4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NEW, 23rd April 2019 with new plot No. 92-97
</t>
        </r>
      </text>
    </comment>
    <comment ref="G50" authorId="0" shapeId="0" xr:uid="{2D6C86FE-C5EE-44A9-B4AC-9CACB62F731B}">
      <text>
        <r>
          <rPr>
            <sz val="9"/>
            <color indexed="81"/>
            <rFont val="Tahoma"/>
            <family val="2"/>
          </rPr>
          <t xml:space="preserve">NEW, 23rd April 2019 with new plot No. 92-97
</t>
        </r>
      </text>
    </comment>
    <comment ref="D6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  <comment ref="D76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2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  <comment ref="H2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  <comment ref="H2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  <comment ref="H3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YEARLY PAYMENT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Mrisho</author>
  </authors>
  <commentList>
    <comment ref="D117" authorId="0" shapeId="0" xr:uid="{C8217E0C-1056-4154-A28A-76EC9C4772BC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compliance certificate</t>
        </r>
      </text>
    </comment>
    <comment ref="D118" authorId="0" shapeId="0" xr:uid="{508698CB-4F9F-41F2-A7ED-E27D32E8BABF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New Registration to OSHA WIMS </t>
        </r>
      </text>
    </comment>
    <comment ref="D122" authorId="0" shapeId="0" xr:uid="{54E03CCD-0A99-43AB-B42C-3967D0F3DE38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objective changed from 600t/day to 1200t/day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Mrisho</author>
  </authors>
  <commentList>
    <comment ref="E462" authorId="0" shapeId="0" xr:uid="{25BA6C69-6FEB-4448-A9F3-04CBE2382887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complience certificate</t>
        </r>
      </text>
    </comment>
    <comment ref="E463" authorId="0" shapeId="0" xr:uid="{5C187C4F-DDAA-4E95-9B5F-73D899B0A6D4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New Registartion to OSHA WIMS </t>
        </r>
      </text>
    </comment>
    <comment ref="E467" authorId="0" shapeId="0" xr:uid="{FDF2FB1D-FEC3-46EF-80DD-8A8DA88F151B}">
      <text>
        <r>
          <rPr>
            <b/>
            <sz val="9"/>
            <color indexed="81"/>
            <rFont val="Tahoma"/>
            <family val="2"/>
          </rPr>
          <t>Mrisho:</t>
        </r>
        <r>
          <rPr>
            <sz val="9"/>
            <color indexed="81"/>
            <rFont val="Tahoma"/>
            <family val="2"/>
          </rPr>
          <t xml:space="preserve">
objective changed from 600t/day to 1200t/day</t>
        </r>
      </text>
    </comment>
  </commentList>
</comments>
</file>

<file path=xl/sharedStrings.xml><?xml version="1.0" encoding="utf-8"?>
<sst xmlns="http://schemas.openxmlformats.org/spreadsheetml/2006/main" count="10397" uniqueCount="1348">
  <si>
    <t>Yearly</t>
  </si>
  <si>
    <t>ACCOUNTS</t>
  </si>
  <si>
    <t>Withholding Tax (WHT)</t>
  </si>
  <si>
    <t>TRA</t>
  </si>
  <si>
    <t>MONTHLY (Before 7th of every month)</t>
  </si>
  <si>
    <t>SKILL &amp; DEVELOPMENT LEVY (SDL)</t>
  </si>
  <si>
    <t>PAYEE</t>
  </si>
  <si>
    <t>HIGHER EDUCATION LOAN BOARD (HESLB)</t>
  </si>
  <si>
    <t>HESLB, Ministry of Labour</t>
  </si>
  <si>
    <t>TUICO</t>
  </si>
  <si>
    <t>CITY SERVICE LEVY (CSL)</t>
  </si>
  <si>
    <t>Kigamboni Municipality</t>
  </si>
  <si>
    <t>Jan/ April/ July/ October (Before 10th)</t>
  </si>
  <si>
    <t>VALUE ADDED TAX (VAT)</t>
  </si>
  <si>
    <t>MONTHLY (Before 20th of every month)</t>
  </si>
  <si>
    <t>MONTHLY</t>
  </si>
  <si>
    <t>WORKMEN COMPENSATION FUND (WCF)</t>
  </si>
  <si>
    <t>WCF Department, Ministry of Labour</t>
  </si>
  <si>
    <t>WORKMEN COMPENSATION FUND (WCF) ANNUAL RETURN</t>
  </si>
  <si>
    <t>NATIONAL SOCIAL SECURITY FUND (NSSF)</t>
  </si>
  <si>
    <t xml:space="preserve">NSSF, </t>
  </si>
  <si>
    <t>NATIONAL HEALTH ISSURANCE FUND (NHIF)</t>
  </si>
  <si>
    <t>NHIF,</t>
  </si>
  <si>
    <t>P9 &amp; P10 REPORT (PAYEE/SDL/WHT)</t>
  </si>
  <si>
    <t>HALF YEARLY</t>
  </si>
  <si>
    <t xml:space="preserve">CORPORATE TAX </t>
  </si>
  <si>
    <t>Business License Renewal</t>
  </si>
  <si>
    <t>Vehicle Registration Renewal</t>
  </si>
  <si>
    <t>Z REPORT (Sales Reconciliation Vs EFD Machine)</t>
  </si>
  <si>
    <t>OSHA</t>
  </si>
  <si>
    <t>Administration</t>
  </si>
  <si>
    <t>All Risk Insurance Policies</t>
  </si>
  <si>
    <t>Advances to Suppliers</t>
  </si>
  <si>
    <t>Loans &amp; Advances to staff</t>
  </si>
  <si>
    <t>Ageing of Receivables including loans &amp; advances</t>
  </si>
  <si>
    <t>Slow Moving stocks</t>
  </si>
  <si>
    <t>Annual Budget Format &amp; preparation</t>
  </si>
  <si>
    <t>Weekly bank position showing major payments with purpose</t>
  </si>
  <si>
    <t>Legal Cases</t>
  </si>
  <si>
    <t>Dividend Records</t>
  </si>
  <si>
    <t>Minining License / Prospecting License Rent</t>
  </si>
  <si>
    <t>Land Rent</t>
  </si>
  <si>
    <t>Property Tax</t>
  </si>
  <si>
    <t>GCLA</t>
  </si>
  <si>
    <t>Fire Safety</t>
  </si>
  <si>
    <t>Due dates</t>
  </si>
  <si>
    <t>Date of</t>
  </si>
  <si>
    <t>Compliance</t>
  </si>
  <si>
    <t>Discontinued</t>
  </si>
  <si>
    <t>Annual Return with BRELA</t>
  </si>
  <si>
    <t>Dec/ March/ June/ Sept (Before 30th)</t>
  </si>
  <si>
    <t>Reconciliation of Physical &amp; books stocks of all inventories</t>
  </si>
  <si>
    <t>Reconciliation all banks</t>
  </si>
  <si>
    <t>Slow Moving Receivables including Loans &amp; Advances</t>
  </si>
  <si>
    <t>Monthly Projected Cash Flow</t>
  </si>
  <si>
    <t>Monthly Actual Cash flow with variances</t>
  </si>
  <si>
    <t>ADMIN</t>
  </si>
  <si>
    <t>SAFE</t>
  </si>
  <si>
    <t>Inspection Delayed by Plant S/D</t>
  </si>
  <si>
    <t>TEMPORARY PERMIT</t>
  </si>
  <si>
    <t>09.06.2022</t>
  </si>
  <si>
    <t>10.06.2021</t>
  </si>
  <si>
    <t>MINISTRY OF WATER AND IRRIGATION</t>
  </si>
  <si>
    <t>WATER DISCHARGE PERMIT( TEMPORARY)</t>
  </si>
  <si>
    <t>ACTIVE</t>
  </si>
  <si>
    <t>PERMIT</t>
  </si>
  <si>
    <t>30.04.2023</t>
  </si>
  <si>
    <t>30.04.2018</t>
  </si>
  <si>
    <t>WATER USE PERMIT</t>
  </si>
  <si>
    <t>MARKETING</t>
  </si>
  <si>
    <t>INACTIVE</t>
  </si>
  <si>
    <t>LOGO (MARK)</t>
  </si>
  <si>
    <t>20.05.2022</t>
  </si>
  <si>
    <t>21.05.2015</t>
  </si>
  <si>
    <t>THE REGISTRAR OF TRADEMARKS- UGANDA</t>
  </si>
  <si>
    <t>TRADE MARK CERTIFICATE - UGANDA</t>
  </si>
  <si>
    <t>NYATI HEAD (MARK)</t>
  </si>
  <si>
    <t>22.05.2025</t>
  </si>
  <si>
    <t>18.09.2015</t>
  </si>
  <si>
    <t>RW/T/2015/293</t>
  </si>
  <si>
    <t>RWANDA DEVELOPMENT BOARD - RWANDA</t>
  </si>
  <si>
    <t>TRADE MARK CERTIFICATE - RWANDA</t>
  </si>
  <si>
    <t>WORD (MARK)</t>
  </si>
  <si>
    <t>17.09.2015</t>
  </si>
  <si>
    <t>RW/T/2015/294</t>
  </si>
  <si>
    <t xml:space="preserve">NYATI HEAD (MARK) </t>
  </si>
  <si>
    <t>12.04.2030</t>
  </si>
  <si>
    <t>12.04.2020</t>
  </si>
  <si>
    <t>TZ/T/2013/513</t>
  </si>
  <si>
    <t>REGISTRAR OF TRADE AND SERVICE MARKS</t>
  </si>
  <si>
    <t>TRADE MARK CERTIFICATE</t>
  </si>
  <si>
    <t xml:space="preserve">WORD (MARK) </t>
  </si>
  <si>
    <t>19.03.2030</t>
  </si>
  <si>
    <t>19.03.2020</t>
  </si>
  <si>
    <t>TZ/T/2013/407</t>
  </si>
  <si>
    <t xml:space="preserve">LOGO (MARK) </t>
  </si>
  <si>
    <t>30.03.2031</t>
  </si>
  <si>
    <t>31.03.2021</t>
  </si>
  <si>
    <t>TZ/T/2014/618</t>
  </si>
  <si>
    <t>FINANCE</t>
  </si>
  <si>
    <t>HO</t>
  </si>
  <si>
    <t>09.06.2006</t>
  </si>
  <si>
    <t>104-708-811</t>
  </si>
  <si>
    <t>TANZANIA REVENUE AUTHORITY</t>
  </si>
  <si>
    <t>TRA -TIN CERTIFICATE, HO ILALA</t>
  </si>
  <si>
    <t xml:space="preserve">HO </t>
  </si>
  <si>
    <t>21.12.2009</t>
  </si>
  <si>
    <t>40-004988-Q</t>
  </si>
  <si>
    <t>TRA - VRN CERTIFICATE, NKURUMAH ST</t>
  </si>
  <si>
    <t>FACTORY</t>
  </si>
  <si>
    <t>BPM</t>
  </si>
  <si>
    <t>BRANCH</t>
  </si>
  <si>
    <t xml:space="preserve"> </t>
  </si>
  <si>
    <t>TRA - VRN CERTIFICATE, KIMBIJI BRANCH</t>
  </si>
  <si>
    <t>TEMEKE</t>
  </si>
  <si>
    <t>TRA - TIN CERTIFICATE, KIMBIJI, TEMEKE</t>
  </si>
  <si>
    <t>For BRELA</t>
  </si>
  <si>
    <t>31.12.2022</t>
  </si>
  <si>
    <t>13.01.2022</t>
  </si>
  <si>
    <t>401-0113-5139</t>
  </si>
  <si>
    <t xml:space="preserve">TRA - TAX CLEARANCE CERTIFICATE - </t>
  </si>
  <si>
    <t>For  TIC</t>
  </si>
  <si>
    <t>13.01.2021</t>
  </si>
  <si>
    <t>401-0113-5137</t>
  </si>
  <si>
    <t xml:space="preserve">TRA - TAX CLEARANCE CERTIFICATE </t>
  </si>
  <si>
    <t>INSTRUMENTATION</t>
  </si>
  <si>
    <t>Renewal ON.Fees recd</t>
  </si>
  <si>
    <t>30.06.2022</t>
  </si>
  <si>
    <t>01.07.2021</t>
  </si>
  <si>
    <t>TCRA/RSUL/0216/2021</t>
  </si>
  <si>
    <t>TANZANIA COMMUNICATION REGULATORY AUTHORITY</t>
  </si>
  <si>
    <t>TCRA- RadioCommunication Station License</t>
  </si>
  <si>
    <t>N.A</t>
  </si>
  <si>
    <t>PARASTATAL PENSION FUND</t>
  </si>
  <si>
    <t>PENSION FUND- PPF</t>
  </si>
  <si>
    <t>PZ459</t>
  </si>
  <si>
    <t>LOCAL AUTHORITY PENSION FUND</t>
  </si>
  <si>
    <t>PENSION FUND -LAPF</t>
  </si>
  <si>
    <t>20.01.2011</t>
  </si>
  <si>
    <t>NATIONAL SOCIAL SECURITY FUND</t>
  </si>
  <si>
    <t>PENSION FUND - NSSF</t>
  </si>
  <si>
    <t>25.08.2015</t>
  </si>
  <si>
    <t>GOVERNMENT EMPLOYEE PENSION FUND</t>
  </si>
  <si>
    <t>PENSION FUND - GEPF</t>
  </si>
  <si>
    <t>Inspection done,medical examination done, renewal process on</t>
  </si>
  <si>
    <t>12.08.2021</t>
  </si>
  <si>
    <t>0135/21/22</t>
  </si>
  <si>
    <t>MINISTRY OF LABOUR &amp; EMPLOYMENT - OSHA</t>
  </si>
  <si>
    <t>OSHA - COMPLIANCE LICENSE -HEAD OFFICE</t>
  </si>
  <si>
    <t>For Head Office</t>
  </si>
  <si>
    <t>05.06.2021</t>
  </si>
  <si>
    <t>DAR/10185</t>
  </si>
  <si>
    <t>OSHA - CERTIFICATE OF REGISTRATION OF WORKPLACE- HO</t>
  </si>
  <si>
    <t>SAFETY</t>
  </si>
  <si>
    <t xml:space="preserve">MAX SW LOAD 70 TONNES </t>
  </si>
  <si>
    <t>30.03.2023</t>
  </si>
  <si>
    <t>15.06.2022</t>
  </si>
  <si>
    <t>188 Dt 08/12/2015</t>
  </si>
  <si>
    <t>OSHA - ZOOMLION CRANE</t>
  </si>
  <si>
    <t xml:space="preserve">FROM 5 TONNES TO 30 TONNES RANGE </t>
  </si>
  <si>
    <t>OSHA - WIRE ROPES</t>
  </si>
  <si>
    <t xml:space="preserve">MAX SW LOAD 5 TONNES </t>
  </si>
  <si>
    <t>OSHA - WEBBING SLINGS</t>
  </si>
  <si>
    <t xml:space="preserve">FROM 1 TON TO 30 TONNES RANGE  </t>
  </si>
  <si>
    <t>OSHA - SHACKLES</t>
  </si>
  <si>
    <t>SWL 10 TONNES - Rope Kink, stop using</t>
  </si>
  <si>
    <t>29.05.2020</t>
  </si>
  <si>
    <t>30.05.2019</t>
  </si>
  <si>
    <t>OSHA - OVERHEAD CRANE TACKLER</t>
  </si>
  <si>
    <t xml:space="preserve">MAX LOAD 50 TONNES </t>
  </si>
  <si>
    <t>OSHA - OVERHEAD CRANE</t>
  </si>
  <si>
    <t xml:space="preserve">MAX SW LOAD 12,000 KGS </t>
  </si>
  <si>
    <t>OSHA - HYDRA FORKLIFT</t>
  </si>
  <si>
    <t xml:space="preserve">SWL RANGE FROM 1 TONS TO 10 TON </t>
  </si>
  <si>
    <t>OSHA - CHAIN PULLERS</t>
  </si>
  <si>
    <t>2 TONS , 3 TONS &amp; 5 TONS RANGE</t>
  </si>
  <si>
    <t>OSHA - CHAINS BLOCKS</t>
  </si>
  <si>
    <t xml:space="preserve">Model DP20NT </t>
  </si>
  <si>
    <t>OSHA - FORKLIFT CAT</t>
  </si>
  <si>
    <t>OSHA- STEAM RECEIVER CERTIFICATE</t>
  </si>
  <si>
    <t>SER # BL037</t>
  </si>
  <si>
    <t>OSHA STEAM BOILER NORMAL PRESSURE CERTIFICATE</t>
  </si>
  <si>
    <t>DAR/3229</t>
  </si>
  <si>
    <t>OSHA- ELECTRICAL INSPECTION KIMBIJI</t>
  </si>
  <si>
    <t>OSHA STEAM BOILER WHEN COLD CERTIFICATE</t>
  </si>
  <si>
    <r>
      <t xml:space="preserve">TOTAL No. 3 </t>
    </r>
    <r>
      <rPr>
        <sz val="8"/>
        <rFont val="Calibri"/>
        <family val="2"/>
        <scheme val="minor"/>
      </rPr>
      <t xml:space="preserve">(ser no. 1301SR0108/109/110) </t>
    </r>
  </si>
  <si>
    <t>OSHA AIR RECEIVER CERTIFICATE</t>
  </si>
  <si>
    <t>1431/21/22</t>
  </si>
  <si>
    <t>OSHA - COMPLIANCE LICENSE -KIMBIJI</t>
  </si>
  <si>
    <t>09.04.2021</t>
  </si>
  <si>
    <t>OSHA - CERTIFICATE OF REGISTRATION OF WORKPLACE- KIMBIJI</t>
  </si>
  <si>
    <t>01.02.2021</t>
  </si>
  <si>
    <t>004</t>
  </si>
  <si>
    <t>CONFEDERATION OF TANZANIA INDUSTRIES</t>
  </si>
  <si>
    <t xml:space="preserve">MEMBERSHIP CTI </t>
  </si>
  <si>
    <t>28.01.2024</t>
  </si>
  <si>
    <t>29.01.2019</t>
  </si>
  <si>
    <t>PLWB- 2019- 001</t>
  </si>
  <si>
    <t>EWURA</t>
  </si>
  <si>
    <t xml:space="preserve">LICENSE - LUBRICANT WHOLESALER </t>
  </si>
  <si>
    <t>QA/QCC-A/1804/VOL II/151-ALREADY RENEWED</t>
  </si>
  <si>
    <t>01.07.2023</t>
  </si>
  <si>
    <t>02.07.2022</t>
  </si>
  <si>
    <t>TANZANIA BUREAU OF STANDARDS</t>
  </si>
  <si>
    <t>LICENSE - TBS LICENSE (ENDORSEMENT)</t>
  </si>
  <si>
    <t>30.01.2027</t>
  </si>
  <si>
    <t>31.01.2022</t>
  </si>
  <si>
    <t>PCIOL-2016-001</t>
  </si>
  <si>
    <t>LICENSE - PETROLUEM CONSUMER INSTALLATION OPERATIONS LICENSE</t>
  </si>
  <si>
    <t>29.12.2017</t>
  </si>
  <si>
    <t>00002223</t>
  </si>
  <si>
    <t>MINISTRY OF INDUSTRY, TRADE &amp; INVESTMENTS</t>
  </si>
  <si>
    <t>LICENSE - INDUSTRIAL LICENSE</t>
  </si>
  <si>
    <t>POWER PLANT</t>
  </si>
  <si>
    <t>ANBARASAN</t>
  </si>
  <si>
    <t>28.03.2031</t>
  </si>
  <si>
    <t>29.03.2016</t>
  </si>
  <si>
    <t>BEGL-2016-001</t>
  </si>
  <si>
    <t>LICENSE - ELECTRICITY OWN USE GENERATION LICENSE</t>
  </si>
  <si>
    <t xml:space="preserve">LOG </t>
  </si>
  <si>
    <t>21.03.2023</t>
  </si>
  <si>
    <t>21.03.2022</t>
  </si>
  <si>
    <t>20000028323</t>
  </si>
  <si>
    <t>BRELA</t>
  </si>
  <si>
    <t xml:space="preserve">LICENSE - BUSINESS LICENSE TRANSPORTATION </t>
  </si>
  <si>
    <t>30.06.2023</t>
  </si>
  <si>
    <t>B 20000031965</t>
  </si>
  <si>
    <t>LICENSE - BUSINESS LICENSE - PLANT, TEMEKE</t>
  </si>
  <si>
    <t>08.03.2023</t>
  </si>
  <si>
    <t>08.03.2022</t>
  </si>
  <si>
    <t>20000027863</t>
  </si>
  <si>
    <t>LICENSE - BUSINESS LICENSE - HO, ILALA</t>
  </si>
  <si>
    <t>21.08.2022</t>
  </si>
  <si>
    <t>21.08.2019</t>
  </si>
  <si>
    <t>LICENSE - BUSINESS LICENSE - EXPORT</t>
  </si>
  <si>
    <t>TRAINING</t>
  </si>
  <si>
    <t>23.11.2024</t>
  </si>
  <si>
    <t>17.12.2021</t>
  </si>
  <si>
    <t>156925Q</t>
  </si>
  <si>
    <t>ACM</t>
  </si>
  <si>
    <r>
      <rPr>
        <b/>
        <sz val="10"/>
        <rFont val="Calibri"/>
        <family val="2"/>
        <scheme val="minor"/>
      </rPr>
      <t>ISO</t>
    </r>
    <r>
      <rPr>
        <sz val="10"/>
        <rFont val="Calibri"/>
        <family val="2"/>
        <scheme val="minor"/>
      </rPr>
      <t xml:space="preserve"> 9001:2015 CERTIFICATE</t>
    </r>
  </si>
  <si>
    <t>NKURUMAH OFFICE GENERATOR</t>
  </si>
  <si>
    <t>13.06.2014</t>
  </si>
  <si>
    <t>12.06.2013</t>
  </si>
  <si>
    <t>ILALA MUNICIPAL COUNCIL</t>
  </si>
  <si>
    <t>GENERATOR PERMIT @ NKURUMAH</t>
  </si>
  <si>
    <t>PURCHASE</t>
  </si>
  <si>
    <t xml:space="preserve">Importer/Export/Mfg, Storage and User.  </t>
  </si>
  <si>
    <t>03.06.2025</t>
  </si>
  <si>
    <t>04.06.2020</t>
  </si>
  <si>
    <t>9331-951321-0001</t>
  </si>
  <si>
    <t xml:space="preserve">GCLA REGISTRATION CERTIFICATE </t>
  </si>
  <si>
    <t>17.01.2023</t>
  </si>
  <si>
    <t>18.01.2022</t>
  </si>
  <si>
    <t>37096</t>
  </si>
  <si>
    <t>MINISTRY OF HOME AFFAIRS</t>
  </si>
  <si>
    <t>FIRE SAFETY CERTIFICATE- KIMBIJI</t>
  </si>
  <si>
    <t>09.01.2023</t>
  </si>
  <si>
    <t>10.01.2022</t>
  </si>
  <si>
    <t>13442</t>
  </si>
  <si>
    <t>FIRE SAFETY CERTIFICATE- HO</t>
  </si>
  <si>
    <t>2000TPD CEMENT MFG PLANT</t>
  </si>
  <si>
    <t>03.02.2015</t>
  </si>
  <si>
    <t>EC/EIS/1574</t>
  </si>
  <si>
    <t>NATIONAL ENVIROMENT MANAGEMENT CORP</t>
  </si>
  <si>
    <t>ENVIRONMENTAL IMPACT ASSESSMENT - TALAWANDA</t>
  </si>
  <si>
    <t>HR</t>
  </si>
  <si>
    <t>INSTALL OF 10MW POWER PLANT</t>
  </si>
  <si>
    <t>07.05.2013</t>
  </si>
  <si>
    <t>EC/EIS/835</t>
  </si>
  <si>
    <t>ENVIRONMENTAL IMPACT ASSESSMENT - KIMBIJI</t>
  </si>
  <si>
    <t>SAND &amp; CLAY MINING, KIJAKA</t>
  </si>
  <si>
    <t>21.08.2012</t>
  </si>
  <si>
    <t>EC/EIS/663</t>
  </si>
  <si>
    <t xml:space="preserve">HR  </t>
  </si>
  <si>
    <t>Limestone Mining/ Cement,Clinker Plant</t>
  </si>
  <si>
    <t>13.01.2010</t>
  </si>
  <si>
    <t>EC/EIS/188 (1 &amp; 2)</t>
  </si>
  <si>
    <t>04.07.2018</t>
  </si>
  <si>
    <t>002192</t>
  </si>
  <si>
    <t>WORKERS COMPENSATION FUND, WCF</t>
  </si>
  <si>
    <t>CERTIFICATE OF REGISTARTION OF EMPLOYER</t>
  </si>
  <si>
    <t xml:space="preserve">ADMIN  </t>
  </si>
  <si>
    <t>17.05.2006</t>
  </si>
  <si>
    <t>CERTIFICATE OF INCORPORATION</t>
  </si>
  <si>
    <t>For Woven packaging project- Vijibweni</t>
  </si>
  <si>
    <t>17.04.2022</t>
  </si>
  <si>
    <t>17.05.2019</t>
  </si>
  <si>
    <t>022352</t>
  </si>
  <si>
    <t>TANZANIA INVESTMENT CENTRE</t>
  </si>
  <si>
    <t>CERTIFICATE OF INCENTIVES  - VIJIBWENI</t>
  </si>
  <si>
    <t>PLOT # 264-266</t>
  </si>
  <si>
    <t>01.04.2015</t>
  </si>
  <si>
    <t>02.05.2011</t>
  </si>
  <si>
    <r>
      <t xml:space="preserve">220764 </t>
    </r>
    <r>
      <rPr>
        <sz val="8"/>
        <color theme="1"/>
        <rFont val="Calibri"/>
        <family val="2"/>
        <scheme val="minor"/>
      </rPr>
      <t>(old # 217624)</t>
    </r>
  </si>
  <si>
    <t xml:space="preserve">CERTIFICATE OF INCENTIVES  </t>
  </si>
  <si>
    <t>PLT# 274/374/129/130/131/264-266/92-97, 10/2/21</t>
  </si>
  <si>
    <r>
      <t xml:space="preserve">0224007 </t>
    </r>
    <r>
      <rPr>
        <sz val="8"/>
        <color theme="1"/>
        <rFont val="Calibri"/>
        <family val="2"/>
        <scheme val="minor"/>
      </rPr>
      <t>(old # 222809)</t>
    </r>
  </si>
  <si>
    <t>PLT# 274/374/129/130/131/264-266/92-97, 23/4/19</t>
  </si>
  <si>
    <t>LOG</t>
  </si>
  <si>
    <t>BULKER T986CHP/T528CHX</t>
  </si>
  <si>
    <t>29.10.2021</t>
  </si>
  <si>
    <t>30.10.2020</t>
  </si>
  <si>
    <t>WEIGHTS AND MEASURES AGENCY</t>
  </si>
  <si>
    <t>CERTIFICATE OF CORRECTNESS</t>
  </si>
  <si>
    <t>BULKER T983 DDR/T920 DSZ/ T919DSZ/ T922 DSZ/T918 DSZ/T910 DSZ</t>
  </si>
  <si>
    <t>22.02.2023</t>
  </si>
  <si>
    <t>23.02.2022</t>
  </si>
  <si>
    <t>197469/197464/197467/197468/197465/197466</t>
  </si>
  <si>
    <t>STORES</t>
  </si>
  <si>
    <t>UNDER GROUND DIESEL TWO TANKS (2)</t>
  </si>
  <si>
    <t>04.04.2023</t>
  </si>
  <si>
    <t>04.04.2018</t>
  </si>
  <si>
    <t>TMK.C.1.2018/2.2018</t>
  </si>
  <si>
    <t xml:space="preserve">PETROLUEM MEASUREMENT UNIT </t>
  </si>
  <si>
    <t>21.02.2023</t>
  </si>
  <si>
    <t>21.02.2022</t>
  </si>
  <si>
    <t>LOGISTICS</t>
  </si>
  <si>
    <t xml:space="preserve">PREPACKAGES </t>
  </si>
  <si>
    <t>08.11.2022</t>
  </si>
  <si>
    <t>09.11.2021</t>
  </si>
  <si>
    <t>C/N: 0000000398</t>
  </si>
  <si>
    <t>1 X 500 Kgs, 1 X 300 Kgs</t>
  </si>
  <si>
    <t>14.05.2023</t>
  </si>
  <si>
    <t>15.05.2022</t>
  </si>
  <si>
    <t xml:space="preserve">WEIGHING SCALES 80 TONS and WEIGHING SCALE 150 kgs </t>
  </si>
  <si>
    <t>17.08.2022</t>
  </si>
  <si>
    <t>18.08.2021</t>
  </si>
  <si>
    <t>197490/197491/197492</t>
  </si>
  <si>
    <t xml:space="preserve">WEIGHTS, 60X50 Kgs, 100X20 Kgs </t>
  </si>
  <si>
    <t>MINING WEIGHING SCALES 80 TONS A12E</t>
  </si>
  <si>
    <t>WEIGHBRIDGE  2 (2020092507)</t>
  </si>
  <si>
    <t>BPM/RK</t>
  </si>
  <si>
    <t>WEIGHBRIDGE -1</t>
  </si>
  <si>
    <t>10.12.2022</t>
  </si>
  <si>
    <t>11.12.2021</t>
  </si>
  <si>
    <t>01.02.2022</t>
  </si>
  <si>
    <t>GS1 (TANZANIA) NATIONAL LIMITED</t>
  </si>
  <si>
    <t>BARCODE</t>
  </si>
  <si>
    <t>CEMENT FACTORY</t>
  </si>
  <si>
    <t>TP 58466</t>
  </si>
  <si>
    <t xml:space="preserve">TEMEKE MUNICIPAL COUNCIL </t>
  </si>
  <si>
    <t>BUILDING PERMIT PLOT NO 265 KIMBIJI</t>
  </si>
  <si>
    <t>BOUNDARY WALL</t>
  </si>
  <si>
    <t>TP 58342</t>
  </si>
  <si>
    <t>Sr No</t>
  </si>
  <si>
    <t>Lic.No</t>
  </si>
  <si>
    <t>sq.km/hec</t>
  </si>
  <si>
    <t>Area</t>
  </si>
  <si>
    <t>Date issued</t>
  </si>
  <si>
    <t xml:space="preserve">Annual Rent </t>
  </si>
  <si>
    <t>Due date</t>
  </si>
  <si>
    <t>Renewal date</t>
  </si>
  <si>
    <t>Status</t>
  </si>
  <si>
    <t>Surrender letter to be issued</t>
  </si>
  <si>
    <t>Remarks</t>
  </si>
  <si>
    <t>MCP</t>
  </si>
  <si>
    <t>LCP</t>
  </si>
  <si>
    <t>Limestone/Clay</t>
  </si>
  <si>
    <t>ML 395/10</t>
  </si>
  <si>
    <t>6.16 km2</t>
  </si>
  <si>
    <t>Kimbiji, Temeke</t>
  </si>
  <si>
    <t>24/05/10</t>
  </si>
  <si>
    <t>US$12320</t>
  </si>
  <si>
    <t>23/05/30</t>
  </si>
  <si>
    <t>Active</t>
  </si>
  <si>
    <t>Paid Annual Rent  05/04/2022</t>
  </si>
  <si>
    <t>Due on 23rd May 2023</t>
  </si>
  <si>
    <t>Submitted with Renewal Docs</t>
  </si>
  <si>
    <t>for YR 2022 submitted</t>
  </si>
  <si>
    <t>ML 509/14</t>
  </si>
  <si>
    <t>9.99 km2</t>
  </si>
  <si>
    <t>Kijaka, Kimbiji</t>
  </si>
  <si>
    <t>31/01/14</t>
  </si>
  <si>
    <t>US$19980</t>
  </si>
  <si>
    <t>31/01/24</t>
  </si>
  <si>
    <t>Paid Annual Rent  6th Jan 2022</t>
  </si>
  <si>
    <t>Due on 31st Jan 2023</t>
  </si>
  <si>
    <t xml:space="preserve">TO PREPARE </t>
  </si>
  <si>
    <t>ML 552/15</t>
  </si>
  <si>
    <t>5.02 km2</t>
  </si>
  <si>
    <t>Tarawanda, Bagamoyo</t>
  </si>
  <si>
    <t>30/09/15</t>
  </si>
  <si>
    <t>US$10120</t>
  </si>
  <si>
    <t>30/09/25</t>
  </si>
  <si>
    <t>Paid Annual Rent  23/09/2021</t>
  </si>
  <si>
    <t>Due on 30th Sept 2022</t>
  </si>
  <si>
    <t xml:space="preserve">Not Started </t>
  </si>
  <si>
    <t>BR</t>
  </si>
  <si>
    <t>PL/11811/2022</t>
  </si>
  <si>
    <t>11.4 km2</t>
  </si>
  <si>
    <t>Kimbiji, Temeke(kigamboni)</t>
  </si>
  <si>
    <t>US$1140</t>
  </si>
  <si>
    <t>Granted 27/12/21</t>
  </si>
  <si>
    <t>Paid Annual Rent 28/12/2021</t>
  </si>
  <si>
    <t>In BRL</t>
  </si>
  <si>
    <t xml:space="preserve">PL/17158/2021-Old no </t>
  </si>
  <si>
    <t>Mining Licence - renewable after every 10 years</t>
  </si>
  <si>
    <t xml:space="preserve">Prospecting Licence  </t>
  </si>
  <si>
    <t xml:space="preserve"> 1st renewal     4 years</t>
  </si>
  <si>
    <t>2nd renewal     3 years</t>
  </si>
  <si>
    <t>3rd renewal      2 years</t>
  </si>
  <si>
    <t>extension          2 years</t>
  </si>
  <si>
    <t>Primary Mining Licence - renewable after 7 years</t>
  </si>
  <si>
    <t>Local Content Plan</t>
  </si>
  <si>
    <t>TIC Progress Report Quarterly LCL &amp; BRL &amp; UCL</t>
  </si>
  <si>
    <t xml:space="preserve">Mothly / Quaterly Mining Report </t>
  </si>
  <si>
    <t>Borehole Permit</t>
  </si>
  <si>
    <t>Boiler</t>
  </si>
  <si>
    <t>Petroleum Consumer Permit</t>
  </si>
  <si>
    <t>LAKE CEMENT LIMITED</t>
  </si>
  <si>
    <t>CERTIFICATES AND LICENSE LIST</t>
  </si>
  <si>
    <t>#</t>
  </si>
  <si>
    <t>DESCRIPTION</t>
  </si>
  <si>
    <t>AGENCY</t>
  </si>
  <si>
    <t>NUMBER</t>
  </si>
  <si>
    <t>VALIDITY</t>
  </si>
  <si>
    <t>REMARKS</t>
  </si>
  <si>
    <t>STATUS</t>
  </si>
  <si>
    <t xml:space="preserve">ORIGINAL </t>
  </si>
  <si>
    <t>DEPARTMENT</t>
  </si>
  <si>
    <t xml:space="preserve">FROM </t>
  </si>
  <si>
    <t>TO</t>
  </si>
  <si>
    <t>EIA</t>
  </si>
  <si>
    <t>BRL</t>
  </si>
  <si>
    <t>Accounts Audited</t>
  </si>
  <si>
    <t>under process</t>
  </si>
  <si>
    <t>IT Return Filed</t>
  </si>
  <si>
    <t>Provisional IT Return Filed</t>
  </si>
  <si>
    <t>31.12.2021</t>
  </si>
  <si>
    <t>WHT Return</t>
  </si>
  <si>
    <t>Half Yearly</t>
  </si>
  <si>
    <t>NA</t>
  </si>
  <si>
    <t>Discontinued by TRA</t>
  </si>
  <si>
    <t>VAT Return Filed</t>
  </si>
  <si>
    <t>Monthly</t>
  </si>
  <si>
    <t>BRELA Return Filed</t>
  </si>
  <si>
    <t>25.01.2022</t>
  </si>
  <si>
    <t>Business License v/u</t>
  </si>
  <si>
    <t>24.02.2022   (under process)</t>
  </si>
  <si>
    <t>TIC</t>
  </si>
  <si>
    <t>ML</t>
  </si>
  <si>
    <t>PRESENT STATUS OF TITLE DEED AS AT 01st Apr , 2022</t>
  </si>
  <si>
    <t>Plot No.</t>
  </si>
  <si>
    <t>129-130 U</t>
  </si>
  <si>
    <t>New Invoice Requested ,Docs Missing during transfer to Dodoma as these docs dates back 2016</t>
  </si>
  <si>
    <t>131 U</t>
  </si>
  <si>
    <t xml:space="preserve">Titel Deed  Derivative Rights received </t>
  </si>
  <si>
    <t>274 E</t>
  </si>
  <si>
    <t>374 E</t>
  </si>
  <si>
    <t>92 block HH</t>
  </si>
  <si>
    <t>93 block HH</t>
  </si>
  <si>
    <t>94 block HH</t>
  </si>
  <si>
    <t>95 block HH</t>
  </si>
  <si>
    <t>96 block HH</t>
  </si>
  <si>
    <t>97 block HH</t>
  </si>
  <si>
    <t xml:space="preserve">Local Content Plan </t>
  </si>
  <si>
    <t>Division</t>
  </si>
  <si>
    <t>Agency / Institution / Govt Body</t>
  </si>
  <si>
    <t>Reponsibility</t>
  </si>
  <si>
    <t>Direct</t>
  </si>
  <si>
    <t>2nd Level</t>
  </si>
  <si>
    <t>Head</t>
  </si>
  <si>
    <t>Origin Date</t>
  </si>
  <si>
    <t>Renewal Date</t>
  </si>
  <si>
    <t>Original</t>
  </si>
  <si>
    <t>Current</t>
  </si>
  <si>
    <t xml:space="preserve">30 days </t>
  </si>
  <si>
    <t>15 days</t>
  </si>
  <si>
    <t>3 days</t>
  </si>
  <si>
    <t>Document Upload / Attach</t>
  </si>
  <si>
    <t>Shoot Auto Mailer Prior Renewal Date</t>
  </si>
  <si>
    <t>Location / Custodian</t>
  </si>
  <si>
    <t>Description / Details</t>
  </si>
  <si>
    <t>Frequency</t>
  </si>
  <si>
    <t>Manager</t>
  </si>
  <si>
    <t>Department</t>
  </si>
  <si>
    <t>Power Plant</t>
  </si>
  <si>
    <t>steam Boiler examination</t>
  </si>
  <si>
    <t>powerplant</t>
  </si>
  <si>
    <t>Annual</t>
  </si>
  <si>
    <t>Mary</t>
  </si>
  <si>
    <t>Mbrisho</t>
  </si>
  <si>
    <t>Anbarasan</t>
  </si>
  <si>
    <t>25th jan2022</t>
  </si>
  <si>
    <t>25th jan2023</t>
  </si>
  <si>
    <t>26th jan2023</t>
  </si>
  <si>
    <t>Available</t>
  </si>
  <si>
    <t>steam receiver examination</t>
  </si>
  <si>
    <t>Air receiver examination</t>
  </si>
  <si>
    <t>WAMI/RUVU Basin water board</t>
  </si>
  <si>
    <t>Discharge permit</t>
  </si>
  <si>
    <t>10thAug2021</t>
  </si>
  <si>
    <t>10thAug2022</t>
  </si>
  <si>
    <t>11thAug2023</t>
  </si>
  <si>
    <t>Electricity own use(Base load &amp; standby) generation licence no:BEGL-2016-001</t>
  </si>
  <si>
    <t>15 yrs</t>
  </si>
  <si>
    <t>29thMar2016</t>
  </si>
  <si>
    <t>28thMar2031</t>
  </si>
  <si>
    <t>29thMar2031</t>
  </si>
  <si>
    <t>TBS</t>
  </si>
  <si>
    <t>WTP Lab equipments calibration</t>
  </si>
  <si>
    <t>suresh</t>
  </si>
  <si>
    <t>Madhu</t>
  </si>
  <si>
    <t xml:space="preserve">KIMBIJI </t>
  </si>
  <si>
    <t>MECHANICAL</t>
  </si>
  <si>
    <t xml:space="preserve">AIR BLASTER 10PCS WITH SWP IN RANE OF 8 BAR TO 11. BAR DEFENDING TO THE SIZE OF HOPPER INSTALLED </t>
  </si>
  <si>
    <t xml:space="preserve">RMPH /KILN/COOLER </t>
  </si>
  <si>
    <t xml:space="preserve">MANAGER </t>
  </si>
  <si>
    <t xml:space="preserve">OVER HEAD CRANE :SWL-10 TON </t>
  </si>
  <si>
    <t xml:space="preserve">CRUSHER </t>
  </si>
  <si>
    <t xml:space="preserve">OVER HEAD CRANE :SWL-30 TON </t>
  </si>
  <si>
    <t xml:space="preserve">RAWMILL </t>
  </si>
  <si>
    <t xml:space="preserve">WORK SHOP </t>
  </si>
  <si>
    <t xml:space="preserve">WIRE ROPES, 10PCS (5TONS TO 30TONS RANVGE) </t>
  </si>
  <si>
    <t>SHACKLES ,15PCS (1TON TO 0 TONS RANGE )</t>
  </si>
  <si>
    <t xml:space="preserve">CHAIN BLOCKS (2TONS,3TONS,&amp; TONS </t>
  </si>
  <si>
    <t>2012/2013</t>
  </si>
  <si>
    <t xml:space="preserve">WEBBIN SLIN (BELTS),5PCS SWL:5TONS EACH </t>
  </si>
  <si>
    <t xml:space="preserve">HORIZONTAL RECEIVER ,S/N:R12103769,:Q:1000L SAFE WORKING PRESSURE :10.5 BAR,DESIGN PRS:11.55 BAR </t>
  </si>
  <si>
    <t xml:space="preserve">PROPORTIONAL HOPPER </t>
  </si>
  <si>
    <t xml:space="preserve">HORIZONTAL RECEIVER ,S/N:4104210023,TYPE:V2136101,:Q:1000L SAFE WORKING PRESSURE :10.5 BAR,DESIGN PRS:17.4 BAR </t>
  </si>
  <si>
    <t xml:space="preserve">KILN SECTION </t>
  </si>
  <si>
    <t xml:space="preserve">HORIZONTAL RECEIVER SAFE WORKIN PRESSURE :8 BAR </t>
  </si>
  <si>
    <t xml:space="preserve">CLINKER SILO SECTION </t>
  </si>
  <si>
    <t xml:space="preserve">HORIZONTAL RECEIVER ,S/N:4104210220,TYPE:V2133121,:Q:1000L SAFE WORKING PRESSURE :10.5 BAR,DESIGN PRS:17.4 BAR </t>
  </si>
  <si>
    <t xml:space="preserve">POWER PLANT </t>
  </si>
  <si>
    <t>HYDRA 12 TON ,S/N :ECE01193KL0193322,REG:T632CXV</t>
  </si>
  <si>
    <t xml:space="preserve">PLANT </t>
  </si>
  <si>
    <t>HYDRA 13 TON ,S/N :ECE01193KL0193322,REG:T186DUH</t>
  </si>
  <si>
    <t>MOBILE CRANE WITH TELESCOPIC BOOM 70 TONS WITH BOOM REACH :70M ,TYP:ZLJ455V3.5,ENGINE MODEL:10.375,RE:T207CBV</t>
  </si>
  <si>
    <r>
      <rPr>
        <sz val="12"/>
        <rFont val="Calibri"/>
        <family val="2"/>
      </rPr>
      <t>Electric hot air oven</t>
    </r>
  </si>
  <si>
    <t>Quality Control</t>
  </si>
  <si>
    <t>Annual Renwal</t>
  </si>
  <si>
    <t>AVS.Reddy</t>
  </si>
  <si>
    <t>available</t>
  </si>
  <si>
    <r>
      <rPr>
        <sz val="12"/>
        <rFont val="Calibri"/>
        <family val="2"/>
      </rPr>
      <t>Drying Oven</t>
    </r>
  </si>
  <si>
    <r>
      <rPr>
        <sz val="12"/>
        <rFont val="Calibri"/>
        <family val="2"/>
      </rPr>
      <t>MUFFLE FURNANCE</t>
    </r>
  </si>
  <si>
    <r>
      <rPr>
        <sz val="12"/>
        <rFont val="Calibri"/>
        <family val="2"/>
      </rPr>
      <t>Acmas Humidity Chamber</t>
    </r>
  </si>
  <si>
    <r>
      <rPr>
        <sz val="12"/>
        <rFont val="Calibri"/>
        <family val="2"/>
      </rPr>
      <t>Proving ring-500KN</t>
    </r>
  </si>
  <si>
    <r>
      <rPr>
        <sz val="12"/>
        <rFont val="Calibri"/>
        <family val="2"/>
      </rPr>
      <t>Compressive Testing Machine -</t>
    </r>
    <r>
      <rPr>
        <sz val="12"/>
        <rFont val="Times New Roman"/>
        <family val="1"/>
      </rPr>
      <t xml:space="preserve"> </t>
    </r>
    <r>
      <rPr>
        <sz val="12"/>
        <rFont val="Calibri"/>
        <family val="2"/>
      </rPr>
      <t>500KN</t>
    </r>
  </si>
  <si>
    <r>
      <rPr>
        <sz val="12"/>
        <rFont val="Calibri"/>
        <family val="2"/>
      </rPr>
      <t>weighing balance</t>
    </r>
  </si>
  <si>
    <r>
      <rPr>
        <sz val="12"/>
        <rFont val="Calibri"/>
        <family val="2"/>
      </rPr>
      <t>Stop Watch</t>
    </r>
  </si>
  <si>
    <r>
      <rPr>
        <sz val="12"/>
        <rFont val="Calibri"/>
        <family val="2"/>
      </rPr>
      <t>Fractional weighing box</t>
    </r>
  </si>
  <si>
    <r>
      <rPr>
        <sz val="12"/>
        <rFont val="Calibri"/>
        <family val="2"/>
      </rPr>
      <t>Thermometer</t>
    </r>
  </si>
  <si>
    <r>
      <rPr>
        <sz val="8"/>
        <rFont val="Calibri"/>
        <family val="2"/>
      </rPr>
      <t>64243/64244</t>
    </r>
  </si>
  <si>
    <r>
      <rPr>
        <sz val="8"/>
        <rFont val="Calibri"/>
        <family val="2"/>
      </rPr>
      <t>64241/64242</t>
    </r>
  </si>
  <si>
    <r>
      <rPr>
        <sz val="12"/>
        <rFont val="Calibri"/>
        <family val="2"/>
      </rPr>
      <t>Digital tacho meter</t>
    </r>
  </si>
  <si>
    <t>Thermo Fisher XRF ARL-9900 service</t>
  </si>
  <si>
    <t>Avant Gard</t>
  </si>
  <si>
    <t>MOM available</t>
  </si>
  <si>
    <t>X-Supreme8000 Benchtop Bulk Analysis (XRF)</t>
  </si>
  <si>
    <t>United Scientific</t>
  </si>
  <si>
    <t>2 Years once</t>
  </si>
  <si>
    <r>
      <rPr>
        <sz val="12"/>
        <rFont val="Calibri"/>
        <family val="2"/>
      </rPr>
      <t>Compressive Testing Machine -</t>
    </r>
    <r>
      <rPr>
        <sz val="12"/>
        <rFont val="Times New Roman"/>
        <family val="1"/>
      </rPr>
      <t xml:space="preserve"> </t>
    </r>
    <r>
      <rPr>
        <sz val="12"/>
        <rFont val="Calibri"/>
        <family val="2"/>
      </rPr>
      <t>500KN</t>
    </r>
    <r>
      <rPr>
        <sz val="12"/>
        <color theme="1"/>
        <rFont val="Calibri"/>
        <family val="2"/>
        <scheme val="minor"/>
      </rPr>
      <t xml:space="preserve"> service </t>
    </r>
  </si>
  <si>
    <t>Aimil/ Khelon Rao</t>
  </si>
  <si>
    <t xml:space="preserve">Compressive Testing Machine - 500KN service </t>
  </si>
  <si>
    <t>Aimil/Khelon Rao</t>
  </si>
  <si>
    <t>QUALITY CONTROL</t>
  </si>
  <si>
    <t>Quality Lab</t>
  </si>
  <si>
    <t>Log Division</t>
  </si>
  <si>
    <t>Logistic</t>
  </si>
  <si>
    <t>BRELA - YEARLY</t>
  </si>
  <si>
    <t>BUSINESS LICENSE</t>
  </si>
  <si>
    <t>HEAD OFFICE</t>
  </si>
  <si>
    <t>YEARLY</t>
  </si>
  <si>
    <t>VALID</t>
  </si>
  <si>
    <t>60 Days</t>
  </si>
  <si>
    <t>30 Days</t>
  </si>
  <si>
    <t>15 Days</t>
  </si>
  <si>
    <t>GCLA - MONTHLY</t>
  </si>
  <si>
    <t xml:space="preserve">CHEMICAL PERMIT </t>
  </si>
  <si>
    <t>20 Days</t>
  </si>
  <si>
    <t>10 Days</t>
  </si>
  <si>
    <t>ALLIANCE INSURANCE CO LTD</t>
  </si>
  <si>
    <t>T296DBZ</t>
  </si>
  <si>
    <t>LOG DIVISION</t>
  </si>
  <si>
    <t>Mohamed</t>
  </si>
  <si>
    <t>Jignesh</t>
  </si>
  <si>
    <t>Devendra Patel</t>
  </si>
  <si>
    <t>T297DBZ</t>
  </si>
  <si>
    <t>T298DBZ</t>
  </si>
  <si>
    <t>T299DBZ</t>
  </si>
  <si>
    <t>T300DBZ</t>
  </si>
  <si>
    <t>T301DBZ</t>
  </si>
  <si>
    <t>T302DBZ</t>
  </si>
  <si>
    <t>T303DBZ</t>
  </si>
  <si>
    <t>T304DBZ</t>
  </si>
  <si>
    <t>T305DBZ</t>
  </si>
  <si>
    <t>T306DBZ</t>
  </si>
  <si>
    <t>T307DBZ</t>
  </si>
  <si>
    <t>T308DBZ</t>
  </si>
  <si>
    <t>T309DBZ</t>
  </si>
  <si>
    <t>T310DBZ</t>
  </si>
  <si>
    <t>T637APP</t>
  </si>
  <si>
    <t>T642AKW</t>
  </si>
  <si>
    <t>T679DRG</t>
  </si>
  <si>
    <t>T680DRG</t>
  </si>
  <si>
    <t>T681DRG</t>
  </si>
  <si>
    <t>T682DRG</t>
  </si>
  <si>
    <t>T729DCF</t>
  </si>
  <si>
    <t>T736DCF</t>
  </si>
  <si>
    <t>T738DCF</t>
  </si>
  <si>
    <t>T739DCF</t>
  </si>
  <si>
    <t>T740DCF</t>
  </si>
  <si>
    <t>T741DCF</t>
  </si>
  <si>
    <t>T742DCF</t>
  </si>
  <si>
    <t>T743DCF</t>
  </si>
  <si>
    <t>T746DCF</t>
  </si>
  <si>
    <t>T747DCF</t>
  </si>
  <si>
    <t>T748DCF</t>
  </si>
  <si>
    <t>T749DCF</t>
  </si>
  <si>
    <t>T752DCF</t>
  </si>
  <si>
    <t>T923CNV</t>
  </si>
  <si>
    <t>T946DXS</t>
  </si>
  <si>
    <t>T983DGZ</t>
  </si>
  <si>
    <t>T273DZX</t>
  </si>
  <si>
    <t>T274DZX</t>
  </si>
  <si>
    <t>T275DZX</t>
  </si>
  <si>
    <t>T276DZX</t>
  </si>
  <si>
    <t>T671DDA</t>
  </si>
  <si>
    <t>T789DCT</t>
  </si>
  <si>
    <t>T790DCT</t>
  </si>
  <si>
    <t>T797DCT</t>
  </si>
  <si>
    <t>T799DCT</t>
  </si>
  <si>
    <t>T801DCT</t>
  </si>
  <si>
    <t>T803DCT</t>
  </si>
  <si>
    <t>T805DCT</t>
  </si>
  <si>
    <t>T806DCT</t>
  </si>
  <si>
    <t>T808DCT</t>
  </si>
  <si>
    <t>T810DCT</t>
  </si>
  <si>
    <t>T811DCT</t>
  </si>
  <si>
    <t>T815DCT</t>
  </si>
  <si>
    <t>T817DCT</t>
  </si>
  <si>
    <t>T821DCT</t>
  </si>
  <si>
    <t>T824DCT</t>
  </si>
  <si>
    <t>T645DCT</t>
  </si>
  <si>
    <t>T781DCT</t>
  </si>
  <si>
    <t>T782DCT</t>
  </si>
  <si>
    <t>T784DCT</t>
  </si>
  <si>
    <t>T785DCT</t>
  </si>
  <si>
    <t>T786DCT</t>
  </si>
  <si>
    <t>T788DCT</t>
  </si>
  <si>
    <t>T791DCT</t>
  </si>
  <si>
    <t>T792DCT</t>
  </si>
  <si>
    <t>T793DCT</t>
  </si>
  <si>
    <t>T796DCT</t>
  </si>
  <si>
    <t>T804DCT</t>
  </si>
  <si>
    <t>T819DCT</t>
  </si>
  <si>
    <t>T927DCT</t>
  </si>
  <si>
    <t>T370DFH</t>
  </si>
  <si>
    <t>T393DHM</t>
  </si>
  <si>
    <t>T528CHX</t>
  </si>
  <si>
    <t>T567DHM</t>
  </si>
  <si>
    <t>T895DYH</t>
  </si>
  <si>
    <t>T910DSZ</t>
  </si>
  <si>
    <t>T915DYH</t>
  </si>
  <si>
    <t>T916DYH</t>
  </si>
  <si>
    <t>T918DSZ</t>
  </si>
  <si>
    <t>T918DYH</t>
  </si>
  <si>
    <t>T919DSZ</t>
  </si>
  <si>
    <t>T920DSZ</t>
  </si>
  <si>
    <t>T921DYH</t>
  </si>
  <si>
    <t>T922DSZ</t>
  </si>
  <si>
    <t>T943DDR</t>
  </si>
  <si>
    <t>T986CHP</t>
  </si>
  <si>
    <t>Land Transport Regulatory Authority</t>
  </si>
  <si>
    <t>45 Days</t>
  </si>
  <si>
    <t>Tanzania Revenue Authority</t>
  </si>
  <si>
    <t>Weights &amp; Measure Agency</t>
  </si>
  <si>
    <t>NOT VALID</t>
  </si>
  <si>
    <t>T175BCM</t>
  </si>
  <si>
    <t>T899DCQ</t>
  </si>
  <si>
    <t>T957CYZ</t>
  </si>
  <si>
    <t>Sales &amp; marketing</t>
  </si>
  <si>
    <t xml:space="preserve">Annual License </t>
  </si>
  <si>
    <t>once in a year</t>
  </si>
  <si>
    <t>Jane</t>
  </si>
  <si>
    <t>Chiarg</t>
  </si>
  <si>
    <t>IPN</t>
  </si>
  <si>
    <t>02.07.2014</t>
  </si>
  <si>
    <t>GS 1 for Bar code</t>
  </si>
  <si>
    <t>01.01.2019</t>
  </si>
  <si>
    <t>01.01.2022</t>
  </si>
  <si>
    <t>SALES</t>
  </si>
  <si>
    <t>MINING</t>
  </si>
  <si>
    <t>ACCOUNTS / TAX / AUDITS</t>
  </si>
  <si>
    <t>STORES - INVENTORY RELATED - STORAGES OF DEISEL</t>
  </si>
  <si>
    <t>Mines</t>
  </si>
  <si>
    <t>Ministry of minerals</t>
  </si>
  <si>
    <t>Mines Dept</t>
  </si>
  <si>
    <t>Stephano</t>
  </si>
  <si>
    <t>Nilesh</t>
  </si>
  <si>
    <t>Mr.BP Mallik</t>
  </si>
  <si>
    <t>Submitted Quarterly</t>
  </si>
  <si>
    <t>√</t>
  </si>
  <si>
    <t>Mining commissions</t>
  </si>
  <si>
    <t>Quarterly mining report</t>
  </si>
  <si>
    <t>Submitted Yearly</t>
  </si>
  <si>
    <t>Ministry of land and settlement</t>
  </si>
  <si>
    <t>Land rent</t>
  </si>
  <si>
    <t>Mines Dept./Accounts</t>
  </si>
  <si>
    <t>Mr.Tarun</t>
  </si>
  <si>
    <t>Annual rent</t>
  </si>
  <si>
    <t>Mr. Tarun</t>
  </si>
  <si>
    <t>Mining licence ML 395/2010</t>
  </si>
  <si>
    <t>Mr.Sajiv</t>
  </si>
  <si>
    <t>Renewed</t>
  </si>
  <si>
    <t>Mining licence ML 509/2014</t>
  </si>
  <si>
    <t>Mining licence ML 552/2015</t>
  </si>
  <si>
    <t>Mines/HO</t>
  </si>
  <si>
    <t>Kimbiji Plant</t>
  </si>
  <si>
    <t>Admin/Safety</t>
  </si>
  <si>
    <t>Fire and Rescue Force</t>
  </si>
  <si>
    <t>Fire Safety Certificate</t>
  </si>
  <si>
    <t>Plant/Safety</t>
  </si>
  <si>
    <t>Safety</t>
  </si>
  <si>
    <t>CPOO</t>
  </si>
  <si>
    <t>Valid</t>
  </si>
  <si>
    <t>Occupational Safety and Health Authority(OSHA)</t>
  </si>
  <si>
    <t>Certificate of Registration of workplace</t>
  </si>
  <si>
    <t>Plant</t>
  </si>
  <si>
    <t>Once per project lifetime</t>
  </si>
  <si>
    <t>End of Project</t>
  </si>
  <si>
    <t>No Renewal needed</t>
  </si>
  <si>
    <t>Compliace Licence</t>
  </si>
  <si>
    <t>National Environment Management Council (NEMC)</t>
  </si>
  <si>
    <t>Annual Environmental Audit Report</t>
  </si>
  <si>
    <t xml:space="preserve">Kimbiji Plant </t>
  </si>
  <si>
    <t>Minister of State, Vice -President's Office-Environment</t>
  </si>
  <si>
    <t>Environmental Impact Assessment Certificate for construction of of Lake Cement Plant and Limestone Mining</t>
  </si>
  <si>
    <t>Before major change of project scope</t>
  </si>
  <si>
    <t>Certificate of Variation of Environmental Impact Assessment Certificate</t>
  </si>
  <si>
    <t>Environmental Impact Assessment Certificate for Proposed activity of Sand and Clay Mining Project</t>
  </si>
  <si>
    <t>Mining</t>
  </si>
  <si>
    <t>NSSF</t>
  </si>
  <si>
    <t>Provides benefits to the workers or beneficiaries according to the member's contribution</t>
  </si>
  <si>
    <t>Yes</t>
  </si>
  <si>
    <t>HR/Accounts</t>
  </si>
  <si>
    <t>Accounts</t>
  </si>
  <si>
    <t>WCF</t>
  </si>
  <si>
    <t>Compansetion to employees for disablement or death caused or resulting injuries or diseases sustain in the course of employment</t>
  </si>
  <si>
    <t>NHIF</t>
  </si>
  <si>
    <t>Ensuring accessibility of health care services to people</t>
  </si>
  <si>
    <t>HIGHER EDUCATION LOAN BOARD</t>
  </si>
  <si>
    <t>Recovery of all the due loans extended for former students</t>
  </si>
  <si>
    <t>CONTRACTORS</t>
  </si>
  <si>
    <t>GIBS DEVELOPERS</t>
  </si>
  <si>
    <t>Bussiness licence</t>
  </si>
  <si>
    <t>Hr/Account</t>
  </si>
  <si>
    <t>WCF certificate of registration</t>
  </si>
  <si>
    <t>NSSF Certificate of Registration</t>
  </si>
  <si>
    <t>TIN- NO 105-306-598</t>
  </si>
  <si>
    <t>KILUMI SECURITY</t>
  </si>
  <si>
    <t>27/9/2019</t>
  </si>
  <si>
    <t>30/11/2021</t>
  </si>
  <si>
    <t>13/09/2022</t>
  </si>
  <si>
    <t>30DYS</t>
  </si>
  <si>
    <t>15DYS</t>
  </si>
  <si>
    <t>10DYS</t>
  </si>
  <si>
    <t>9/10//2017</t>
  </si>
  <si>
    <t>TIN- NO 107-032-541</t>
  </si>
  <si>
    <t>14/08/2008</t>
  </si>
  <si>
    <t>KAMBA'S GROUP OF COMPANIES</t>
  </si>
  <si>
    <t>16/10/2017</t>
  </si>
  <si>
    <t>TIN- NO 133-604-049</t>
  </si>
  <si>
    <t>22/5/2017</t>
  </si>
  <si>
    <t>NYASA COAL MINE LIMITED</t>
  </si>
  <si>
    <t>15/10/2021</t>
  </si>
  <si>
    <t>TIN- NO 139-065-751</t>
  </si>
  <si>
    <t>18/04/2019</t>
  </si>
  <si>
    <t>KAMBA'S LOGISTICS &amp; SUPPLY LIMITED</t>
  </si>
  <si>
    <t>TIN- NO 135-046-698</t>
  </si>
  <si>
    <t>CLEANROCK LOMITED</t>
  </si>
  <si>
    <t>TIN- NO 118-521-692</t>
  </si>
  <si>
    <t>24/9/2012</t>
  </si>
  <si>
    <t>AARAKEY LIMITED</t>
  </si>
  <si>
    <t>18/8/2021</t>
  </si>
  <si>
    <t>31/08/2022</t>
  </si>
  <si>
    <t>16/08/2023</t>
  </si>
  <si>
    <t>TIN- NO 123-028-481</t>
  </si>
  <si>
    <t>KEVISAN LIMITED</t>
  </si>
  <si>
    <t>16/08/2022</t>
  </si>
  <si>
    <t>TIN- NO 123-028-341</t>
  </si>
  <si>
    <t>PENINAHBANZI CATERING</t>
  </si>
  <si>
    <t>31/8/2020</t>
  </si>
  <si>
    <t>24/11/2021</t>
  </si>
  <si>
    <t>27/8/2022</t>
  </si>
  <si>
    <t>On process</t>
  </si>
  <si>
    <t>TIN- NO 103-530-733</t>
  </si>
  <si>
    <t>Statutory Dues</t>
  </si>
  <si>
    <t>VAT</t>
  </si>
  <si>
    <t>Punit</t>
  </si>
  <si>
    <t>Tarun</t>
  </si>
  <si>
    <t>20th every month</t>
  </si>
  <si>
    <t>Z report Submission</t>
  </si>
  <si>
    <t>Muneesh</t>
  </si>
  <si>
    <t>22nd Every month</t>
  </si>
  <si>
    <t>Witholding Tax</t>
  </si>
  <si>
    <t>Salma</t>
  </si>
  <si>
    <t>07th Every Month</t>
  </si>
  <si>
    <t>Kigamboni Municipal Council</t>
  </si>
  <si>
    <t>Ciy Service Levy</t>
  </si>
  <si>
    <t>Factory</t>
  </si>
  <si>
    <t>Quarterly</t>
  </si>
  <si>
    <t>Rahul</t>
  </si>
  <si>
    <t>07th Every Quarter</t>
  </si>
  <si>
    <t>Skills &amp; Development Levy</t>
  </si>
  <si>
    <t>07th Every month</t>
  </si>
  <si>
    <t>PAYE</t>
  </si>
  <si>
    <t>30th Every month</t>
  </si>
  <si>
    <t>Mining Commission</t>
  </si>
  <si>
    <t>Royalties- For payments only</t>
  </si>
  <si>
    <t>Pooja</t>
  </si>
  <si>
    <t>NHIF Medical</t>
  </si>
  <si>
    <t>License &amp; Permit</t>
  </si>
  <si>
    <t>Annual Rent-For payments only</t>
  </si>
  <si>
    <t>Every Year</t>
  </si>
  <si>
    <t>Arnold</t>
  </si>
  <si>
    <t>Corporate Tax - Advance Tax</t>
  </si>
  <si>
    <t>30th Every Quarter</t>
  </si>
  <si>
    <t>Brela/ Municpal council</t>
  </si>
  <si>
    <t>Business License- LCL/UCL/BRL</t>
  </si>
  <si>
    <t>HESLB</t>
  </si>
  <si>
    <t>Group Companies</t>
  </si>
  <si>
    <t>BRELA-LCL/ UCL/ BRL</t>
  </si>
  <si>
    <t>Annual Returns</t>
  </si>
  <si>
    <t>Karimjee Attorneys</t>
  </si>
  <si>
    <t>TRA Audit</t>
  </si>
  <si>
    <t>Vat Verification</t>
  </si>
  <si>
    <t>HO/Plant</t>
  </si>
  <si>
    <t>Punit/ Muneesh/ Rahul</t>
  </si>
  <si>
    <t>VAT- Ultracem</t>
  </si>
  <si>
    <t>Witholding Tax- Ultracem</t>
  </si>
  <si>
    <t>07th every month</t>
  </si>
  <si>
    <t>Ciy Service Levy- Ultracem</t>
  </si>
  <si>
    <t>PAYE-Ultracem</t>
  </si>
  <si>
    <t>WCF- Ultracem</t>
  </si>
  <si>
    <t>NSSF-Ultracem</t>
  </si>
  <si>
    <t>Corporate Tax - Advance Tax- Ultracem</t>
  </si>
  <si>
    <t>Witholding Tax- Baraka Resources</t>
  </si>
  <si>
    <t>Corporate Tax - Advance Tax- BRL</t>
  </si>
  <si>
    <t>Annual Rent-BRL</t>
  </si>
  <si>
    <t>Audit</t>
  </si>
  <si>
    <t>HO/ Plant</t>
  </si>
  <si>
    <t>Internal Audit</t>
  </si>
  <si>
    <t>Internal- closing financial</t>
  </si>
  <si>
    <t>11.08.2022</t>
  </si>
  <si>
    <t>10.08.2023</t>
  </si>
  <si>
    <t>10.08.2022</t>
  </si>
  <si>
    <t>15.08.2022</t>
  </si>
  <si>
    <t>31.05.2023</t>
  </si>
  <si>
    <t>PAN CORPORATE CERTIFICATES</t>
  </si>
  <si>
    <t>TRADE MARK &amp; PATENTS</t>
  </si>
  <si>
    <t>Admin</t>
  </si>
  <si>
    <t xml:space="preserve">Temeke Municipal Council </t>
  </si>
  <si>
    <t>Building Permit Plot No 265 Kimbiji</t>
  </si>
  <si>
    <t>Inactive</t>
  </si>
  <si>
    <t>Boundary Wall</t>
  </si>
  <si>
    <t>Cement Factory</t>
  </si>
  <si>
    <t>Marketing</t>
  </si>
  <si>
    <t>Gs1 (Tanzania) National Limited</t>
  </si>
  <si>
    <t>Barcode</t>
  </si>
  <si>
    <t/>
  </si>
  <si>
    <t>Instrumentation</t>
  </si>
  <si>
    <t>Weights And Measures Agency</t>
  </si>
  <si>
    <t>Certificate Of Correctness</t>
  </si>
  <si>
    <t xml:space="preserve">Weighbridge -1 (Sr. No. 2020122828) </t>
  </si>
  <si>
    <t xml:space="preserve">Weighbridge  2 (Sr. No. 2020092507) </t>
  </si>
  <si>
    <t>Stores</t>
  </si>
  <si>
    <t>02.09.2022</t>
  </si>
  <si>
    <t>01.09.2023</t>
  </si>
  <si>
    <t xml:space="preserve">Mining Weighing Scales 80 Tons A12E  Sr. No. 2015062609) </t>
  </si>
  <si>
    <t xml:space="preserve">Weights, 60X50 Kgs, 100X20 Kgs </t>
  </si>
  <si>
    <t xml:space="preserve">Weighing Bridge 80 Tons (Sr. No. 2503202001) </t>
  </si>
  <si>
    <t xml:space="preserve"> Weighing Scale 150 Kgs ( Sr. No. 124390577) </t>
  </si>
  <si>
    <t>Logistics</t>
  </si>
  <si>
    <t>Prepackages (Roto Packer 8 Spout 5Okg)</t>
  </si>
  <si>
    <t xml:space="preserve">Petroluem Measurement Unit </t>
  </si>
  <si>
    <t>Under Ground Diesel Two Tanks (2)</t>
  </si>
  <si>
    <t>Log</t>
  </si>
  <si>
    <t>Bulker T983 Ddr/T920 Dsz/ T919Dsz/ T922 Dsz/T918 Dsz/T910 Dsz</t>
  </si>
  <si>
    <t>Bulker T986Chp/T528Chx</t>
  </si>
  <si>
    <t>Tanzania Investment Centre</t>
  </si>
  <si>
    <t xml:space="preserve">Certificate Of Incentives  </t>
  </si>
  <si>
    <t>Plt# 274/374/129/130/131/264-266/92-97, 23/4/19</t>
  </si>
  <si>
    <t>Plt# 274/374/129/130/131/264-266/92-97, 10/2/21</t>
  </si>
  <si>
    <t>Plot # 264-266</t>
  </si>
  <si>
    <t>Certificate Of Incentives  - Vijibweni</t>
  </si>
  <si>
    <t>For Woven Packaging Project- Vijibweni</t>
  </si>
  <si>
    <t xml:space="preserve">Admin  </t>
  </si>
  <si>
    <t>Certificate Of Incorporation</t>
  </si>
  <si>
    <t>Workers Compensation Fund, Wcf</t>
  </si>
  <si>
    <t>Certificate Of Registartion Of Employer</t>
  </si>
  <si>
    <t xml:space="preserve">Hr  </t>
  </si>
  <si>
    <t>National Enviroment Management Corp</t>
  </si>
  <si>
    <t>Environmental Impact Assessment - Kimbiji</t>
  </si>
  <si>
    <t>Hr</t>
  </si>
  <si>
    <t>Sand &amp; Clay Mining, Kijaka</t>
  </si>
  <si>
    <t>Install Of 10Mw Power Plant</t>
  </si>
  <si>
    <t>Environmental Impact Assessment - Talawanda</t>
  </si>
  <si>
    <t>2000Tpd Cement Mfg Plant</t>
  </si>
  <si>
    <t>Ministry Of Home Affairs</t>
  </si>
  <si>
    <t>Fire Safety Certificate- Ho</t>
  </si>
  <si>
    <t>Fire Safety Certificate- Kimbiji</t>
  </si>
  <si>
    <t>Purchase</t>
  </si>
  <si>
    <t xml:space="preserve">GCLA Registration Certificate </t>
  </si>
  <si>
    <t xml:space="preserve">Importer/Export/Mfg, Storage And User.  </t>
  </si>
  <si>
    <t>Ilala Municipal Council</t>
  </si>
  <si>
    <t>Generator Permit @ Nkurumah</t>
  </si>
  <si>
    <t>Nkurumah Office Generator</t>
  </si>
  <si>
    <t>Training</t>
  </si>
  <si>
    <t>Iso 9001:2015 Certificate</t>
  </si>
  <si>
    <t>Ministry Of Industry, Trade &amp; Investments</t>
  </si>
  <si>
    <t>License - Business License - Export</t>
  </si>
  <si>
    <t>Export Of Cement And Other Building Materials</t>
  </si>
  <si>
    <t>Brela</t>
  </si>
  <si>
    <t>License - Business License - Ho, Ilala</t>
  </si>
  <si>
    <t>License - Business License - Plant, Temeke</t>
  </si>
  <si>
    <t xml:space="preserve">Log </t>
  </si>
  <si>
    <t xml:space="preserve">License - Business License Transportation </t>
  </si>
  <si>
    <t>Ewura</t>
  </si>
  <si>
    <t>License - Electricity Own Use Generation License</t>
  </si>
  <si>
    <t>License - Industrial License</t>
  </si>
  <si>
    <t>License - Petroluem Consumer Installation Operations License</t>
  </si>
  <si>
    <t>Tanzania Bureau Of Standards</t>
  </si>
  <si>
    <t>License - Tbs License (Endorsement)</t>
  </si>
  <si>
    <t>Qa/Qcc-A/1804/Vol Ii/151-Already Renewed</t>
  </si>
  <si>
    <t xml:space="preserve">License - Lubricant Wholesaler </t>
  </si>
  <si>
    <t>Association Of Tanzania Employee</t>
  </si>
  <si>
    <t xml:space="preserve">Membership Ate </t>
  </si>
  <si>
    <t>Not Applied</t>
  </si>
  <si>
    <t>Confederation Of Tanzania Industries</t>
  </si>
  <si>
    <t xml:space="preserve">Membership Cti </t>
  </si>
  <si>
    <t>Ministry Of Labour &amp; Employment - Osha</t>
  </si>
  <si>
    <t>OSHA - Certificate Of Registration Of Workplace- Kimbiji</t>
  </si>
  <si>
    <t>OSHA - Compliance License -Kimbiji</t>
  </si>
  <si>
    <t>OSHA Air Receiver Certificate</t>
  </si>
  <si>
    <t xml:space="preserve">Total No. 3 (Ser No. 1301Sr0108/109/110) </t>
  </si>
  <si>
    <t>OSHA Steam Boiler When Cold Certificate</t>
  </si>
  <si>
    <t>OSHA- Electrical Inspection Kimbiji</t>
  </si>
  <si>
    <t>OSHA Steam Boiler Normal Pressure Certificate</t>
  </si>
  <si>
    <t>Ser # Bl037</t>
  </si>
  <si>
    <t>OSHA- Steam Receiver Certificate</t>
  </si>
  <si>
    <t>OSHA - Forklift Cat</t>
  </si>
  <si>
    <t xml:space="preserve">Model Dp20Nt </t>
  </si>
  <si>
    <t>OSHA - Chains Blocks</t>
  </si>
  <si>
    <t>2 Tons , 3 Tons &amp; 5 Tons Range</t>
  </si>
  <si>
    <t>OSHA - Chain Pullers</t>
  </si>
  <si>
    <t xml:space="preserve">Swl Range From 1 Tons To 10 Ton </t>
  </si>
  <si>
    <t>OSHA - Hydra Forklift</t>
  </si>
  <si>
    <t xml:space="preserve">Max Sw Load 12,000 Kgs </t>
  </si>
  <si>
    <t>OSHA - Overhead Crane</t>
  </si>
  <si>
    <t xml:space="preserve">Max Load 50 Tonnes </t>
  </si>
  <si>
    <t>OSHA - Overhead Crane Tackler</t>
  </si>
  <si>
    <t>Swl 10 Tonnes - Rope Kink, Stop Using</t>
  </si>
  <si>
    <t>OSHA - Shackles</t>
  </si>
  <si>
    <t xml:space="preserve">From 1 Ton To 30 Tonnes Range  </t>
  </si>
  <si>
    <t>OSHA - Webbing Slings</t>
  </si>
  <si>
    <t xml:space="preserve">Max Sw Load 5 Tonnes </t>
  </si>
  <si>
    <t>OSHA - Wire Ropes</t>
  </si>
  <si>
    <t xml:space="preserve">From 5 Tonnes To 30 Tonnes Range </t>
  </si>
  <si>
    <t>OSHA - Zoomlion Crane</t>
  </si>
  <si>
    <t xml:space="preserve">Max Sw Load 70 Tonnes </t>
  </si>
  <si>
    <t>OSHA - Certificate Of Registration Of Workplace- Ho</t>
  </si>
  <si>
    <t>OSHA - Compliance License -Head Office</t>
  </si>
  <si>
    <t>Government Employee Pension Fund</t>
  </si>
  <si>
    <t>Pension Fund - GEPF</t>
  </si>
  <si>
    <t>National Social Security Fund</t>
  </si>
  <si>
    <t>Pension Fund - NSSF</t>
  </si>
  <si>
    <t>Local Authority Pension Fund</t>
  </si>
  <si>
    <t>Pension Fund -LAPF</t>
  </si>
  <si>
    <t>Parastatal Pension Fund</t>
  </si>
  <si>
    <t>Pension Fund- PPF</t>
  </si>
  <si>
    <t>Tanzania Communication Regulatory Authority</t>
  </si>
  <si>
    <t>TCRA- Radiocommunication Station License</t>
  </si>
  <si>
    <t>Finance</t>
  </si>
  <si>
    <t xml:space="preserve">TRA - Tax Clearance Certificate </t>
  </si>
  <si>
    <t>For  Tic</t>
  </si>
  <si>
    <t xml:space="preserve">TRA - Tax Clearance Certificate - </t>
  </si>
  <si>
    <t>For Brela</t>
  </si>
  <si>
    <t>TRA - Tin Certificate, Kimbiji, Temeke</t>
  </si>
  <si>
    <t>Temeke</t>
  </si>
  <si>
    <t>TRA - Vrn Certificate, Kimbiji Branch</t>
  </si>
  <si>
    <t>Branch</t>
  </si>
  <si>
    <t>TRA - Vrn Certificate, Nkurumah St</t>
  </si>
  <si>
    <t xml:space="preserve">Ho </t>
  </si>
  <si>
    <t>TRA -Tin Certificate, HO Ilala</t>
  </si>
  <si>
    <t>Ho</t>
  </si>
  <si>
    <t>Registrar Of Trade And Service Marks</t>
  </si>
  <si>
    <t>Trade Mark Certificate</t>
  </si>
  <si>
    <t xml:space="preserve">Logo (Mark) </t>
  </si>
  <si>
    <t xml:space="preserve">Word (Mark) </t>
  </si>
  <si>
    <t xml:space="preserve">Nyati Head (Mark) </t>
  </si>
  <si>
    <t>Rwanda Development Board - Rwanda</t>
  </si>
  <si>
    <t>Trade Mark Certificate - Rwanda</t>
  </si>
  <si>
    <t>Word (Mark)</t>
  </si>
  <si>
    <t>Nyati Head (Mark)</t>
  </si>
  <si>
    <t>The Registrar Of Trademarks- Uganda</t>
  </si>
  <si>
    <t>Trade Mark Certificate - Uganda</t>
  </si>
  <si>
    <t>Logo (Mark)</t>
  </si>
  <si>
    <t>Ministry Of Water And Irrigation</t>
  </si>
  <si>
    <t>Water Use Permit</t>
  </si>
  <si>
    <t>Permit</t>
  </si>
  <si>
    <t>Water Discharge Permit( Temporary)</t>
  </si>
  <si>
    <t>Under Renewal Fees Paid</t>
  </si>
  <si>
    <t>Temporary Permit</t>
  </si>
  <si>
    <t>Sr. No.</t>
  </si>
  <si>
    <t xml:space="preserve"> SAFETY</t>
  </si>
  <si>
    <t>TAX CLEARANCE CERTIFICATE</t>
  </si>
  <si>
    <t>For All Suppliers</t>
  </si>
  <si>
    <t>HEALTH INSURANCE</t>
  </si>
  <si>
    <t>GENERAL INSURANCE</t>
  </si>
  <si>
    <t>DIVIDEND</t>
  </si>
  <si>
    <t>HOUSE RENT</t>
  </si>
  <si>
    <t>BOARD MEETINGS</t>
  </si>
  <si>
    <t>QUARTERLY BOARD MEETINGS</t>
  </si>
  <si>
    <t>VAT AUDIT REPORT</t>
  </si>
  <si>
    <t>Cement</t>
  </si>
  <si>
    <t>Purchase / Sales</t>
  </si>
  <si>
    <t>Government Chemist Laboratory Authority (GCLA)</t>
  </si>
  <si>
    <t>Registration - Import, User, Producer, Exporter of Chemicals</t>
  </si>
  <si>
    <t>SAFE HO</t>
  </si>
  <si>
    <t>5 years</t>
  </si>
  <si>
    <t>LCL Imports</t>
  </si>
  <si>
    <t>Bhargav Panchakshari</t>
  </si>
  <si>
    <t>Sajivkumar PS</t>
  </si>
  <si>
    <t>04.06.2025</t>
  </si>
  <si>
    <t>90 days</t>
  </si>
  <si>
    <t>60 days</t>
  </si>
  <si>
    <t>45 days</t>
  </si>
  <si>
    <t>Purchase / General</t>
  </si>
  <si>
    <t>The Energy and Water Utilities Regulatory Authority (EWURA)</t>
  </si>
  <si>
    <t>Petroleum (Lubricants Wholesale Business License)</t>
  </si>
  <si>
    <t xml:space="preserve">Purchase </t>
  </si>
  <si>
    <t>Mining returns &amp; Royalty</t>
  </si>
  <si>
    <t xml:space="preserve">Local content Plan </t>
  </si>
  <si>
    <t xml:space="preserve">Local content  Performance report - Quarterly </t>
  </si>
  <si>
    <t>Local content  Performance report - Yearly</t>
  </si>
  <si>
    <t>Annual  mining report</t>
  </si>
  <si>
    <t>Mine closure plan (MCP) ML 395/2010</t>
  </si>
  <si>
    <t>Mine closure plan (MCPML 509/2014</t>
  </si>
  <si>
    <t>Mine closure plan (MCP) ML 552/2015</t>
  </si>
  <si>
    <t>PETROLEUM MEASUREMENT UNIT</t>
  </si>
  <si>
    <t>PERTROLEUM UNDERGROUND STORAGE</t>
  </si>
  <si>
    <t>LOGISTICS - STORAGES OF DEISEL</t>
  </si>
  <si>
    <t>WEIGH BRIDGETS</t>
  </si>
  <si>
    <t>MEMBERSHIP CTA</t>
  </si>
  <si>
    <t>OSHO - FACTORY</t>
  </si>
  <si>
    <t>OSHO - HO</t>
  </si>
  <si>
    <t>FIRE SAFETY CERTIFICATE HO</t>
  </si>
  <si>
    <t>TRCA</t>
  </si>
  <si>
    <t>TAX CLEARANCE CERTIFICATE FOR BRELA</t>
  </si>
  <si>
    <t>TAX CLEARANCE CERTIFICATE FOR IMMIGRATION</t>
  </si>
  <si>
    <t>TAX CLEARANCE CERTIFICATE FOR LABOUR</t>
  </si>
  <si>
    <t>TAX CLEARANCE CERTIFICATE FOR PERMIT</t>
  </si>
  <si>
    <t>1st Jan 23</t>
  </si>
  <si>
    <t>ISO 90001 CERTIFICATES</t>
  </si>
  <si>
    <t>VEHICLE  INSURANCE RENEWAL</t>
  </si>
  <si>
    <t>31ST DEC 22</t>
  </si>
  <si>
    <t>TRA VEHICLE CERTIFICATES</t>
  </si>
  <si>
    <t>OFFICE RENT -HO</t>
  </si>
  <si>
    <t>QC - LABORATORY</t>
  </si>
  <si>
    <t>FIRE SAFETY CERTIFICATE - HO</t>
  </si>
  <si>
    <t>Corporate - Admin</t>
  </si>
  <si>
    <t>LOGISTIC DIVISION</t>
  </si>
  <si>
    <t>STORE</t>
  </si>
  <si>
    <t>Muneesh/ Rahul</t>
  </si>
  <si>
    <t>WORKERS COMPENSATION FUND</t>
  </si>
  <si>
    <t>BALAKRISHNA</t>
  </si>
  <si>
    <t>DIRENCTOR FEES</t>
  </si>
  <si>
    <t>STRATAGIS INSURANCE COMPANY LTD</t>
  </si>
  <si>
    <t>ALLIANCE INSURANCE COMPANY LTD</t>
  </si>
  <si>
    <t>HIGHER EDUCATION STUNDENTS LOAN BOARD</t>
  </si>
  <si>
    <t>WORKER COMPENSATION FUND</t>
  </si>
  <si>
    <t>Accounts / Finance</t>
  </si>
  <si>
    <t>Land Rent - For payments only</t>
  </si>
  <si>
    <t>Property Tax - For payments only</t>
  </si>
  <si>
    <t>VAT PAYMENT &amp; RETURN</t>
  </si>
  <si>
    <t>SDL - PAYMENT &amp; RETURN</t>
  </si>
  <si>
    <t>PAYE - PAYMENT &amp; RETURN</t>
  </si>
  <si>
    <t>WCF - PAYMENT &amp; RETURN</t>
  </si>
  <si>
    <t>NSSF - PAYMENT &amp; RETURN</t>
  </si>
  <si>
    <t>NHIF Medical - PAYMENT &amp; RETURN</t>
  </si>
  <si>
    <t>HESLB - PAYMENT &amp; RETURN</t>
  </si>
  <si>
    <t>TUICO - PAYMENT &amp; RETURN</t>
  </si>
  <si>
    <t>For All Contractors</t>
  </si>
  <si>
    <t>EFD MACHINES</t>
  </si>
  <si>
    <t>UNISOFT TECHNOLOGIES LTD</t>
  </si>
  <si>
    <t>NATIONAL HEALTH INSURANCE FUND</t>
  </si>
  <si>
    <t>AIR TANZANIA COMPANY</t>
  </si>
  <si>
    <t>6 MONTH</t>
  </si>
  <si>
    <t>EMPLOYEES</t>
  </si>
  <si>
    <t>Company Directors</t>
  </si>
  <si>
    <t>Company Investors</t>
  </si>
  <si>
    <t>FIXED</t>
  </si>
  <si>
    <t>OSHA - Compliance License -HO</t>
  </si>
  <si>
    <t>The Business Registrations and Licensing Agency (BRELA)</t>
  </si>
  <si>
    <t>Government Chemist Laboratory Authority (GCLA)</t>
  </si>
  <si>
    <t>Weights &amp; Measures Agency (WMA)</t>
  </si>
  <si>
    <t xml:space="preserve">Fuel Tank Calibration </t>
  </si>
  <si>
    <t xml:space="preserve">Monthly </t>
  </si>
  <si>
    <t>Every 5 Year</t>
  </si>
  <si>
    <t>90 Days</t>
  </si>
  <si>
    <t xml:space="preserve">WEBBING SLING (BELTS),5PCS SWL:5TONS EACH </t>
  </si>
  <si>
    <t>HYDRA 13 TON ,</t>
  </si>
  <si>
    <t xml:space="preserve">Certificate of Correctness - Weighbridge -1 (Sr. No. 2020122828) </t>
  </si>
  <si>
    <t xml:space="preserve">Certificate of Correctness - Weighbridge  2 (Sr. No. 2020092507) </t>
  </si>
  <si>
    <t xml:space="preserve">Certificate of Correctness - Mining Weighing Scales 80 Tons A12E  Sr. No. 2015062609) </t>
  </si>
  <si>
    <t xml:space="preserve">Certificate of Correctness - Weights, 60X50 Kgs, 100X20 Kgs </t>
  </si>
  <si>
    <t xml:space="preserve">Certificate of Correctness -  Weighing Scale 150 Kgs ( Sr. No. 124390577) </t>
  </si>
  <si>
    <t>Certificate of Correctness - 1 X 500 Kgs, 1 X 300 Kgs</t>
  </si>
  <si>
    <t>Certificate of Correctness - Under Ground Diesel Two Tanks (2)</t>
  </si>
  <si>
    <t>Calibration certificate - weighing balance</t>
  </si>
  <si>
    <t>Calibration certificate - Stop Watch</t>
  </si>
  <si>
    <t>Calibration certificate - Fractional weighing box</t>
  </si>
  <si>
    <t>Calibration certificate - Thermometer</t>
  </si>
  <si>
    <t>Calibration certificate - Digital tacho meter</t>
  </si>
  <si>
    <t>Responsibility</t>
  </si>
  <si>
    <t>Calibration certificate - Insulation resistance tester MIT515 make Megger</t>
  </si>
  <si>
    <t>Calibration certificate - Earth resistance tester KM 1720 make Kusum-Meco</t>
  </si>
  <si>
    <t>Calibration certificate - Earth resistance tester DET3TD make Megger</t>
  </si>
  <si>
    <t>Calibration certificate - Power analyser 345PQ make Fluke</t>
  </si>
  <si>
    <t>Calibration certificate - Tacho meter DT-2236 make Tacho meter</t>
  </si>
  <si>
    <t>Calibration certificate - Voltage/Current calibrator KM CAL 700 make Kusum-Meco</t>
  </si>
  <si>
    <t>Calibration certificate - Multimeter digital 15B make Fluke</t>
  </si>
  <si>
    <t>Calibration certificate - Loop calibrator 05 make Nagman</t>
  </si>
  <si>
    <t>PRODUCTION</t>
  </si>
  <si>
    <t>Calibration Certificate - weighing balance</t>
  </si>
  <si>
    <t>Calibration Certificate -weighing balance</t>
  </si>
  <si>
    <t>Calibration Certificate -U-Tube Manometer</t>
  </si>
  <si>
    <t xml:space="preserve">Calibration Certificate -Pyrometer </t>
  </si>
  <si>
    <t>Calibration Certificate -Velocity Meter</t>
  </si>
  <si>
    <t>Calibration Certificate -Anemometer</t>
  </si>
  <si>
    <t>Calibration Certificate -Digital Thermometer</t>
  </si>
  <si>
    <t>Calibration Certificate -Flue Gas Analyzer</t>
  </si>
  <si>
    <t>Calibration Certificate -Digital Manometer</t>
  </si>
  <si>
    <t>-</t>
  </si>
  <si>
    <t>Calibration Certificate - Electric hot air oven</t>
  </si>
  <si>
    <t>Calibration Certificate - Drying Oven</t>
  </si>
  <si>
    <t>Calibration Certificate - MUFFLE FURNANCE</t>
  </si>
  <si>
    <t>Calibration Certificate - Acmas Humidity Chamber</t>
  </si>
  <si>
    <t>Calibration Certificate - Proving ring-500KN</t>
  </si>
  <si>
    <t>Calibration Certificate - Compressive Testing Machine - 500KN</t>
  </si>
  <si>
    <t>IMMIGRATION OF DAR ES SALAAM</t>
  </si>
  <si>
    <t>Ramesh Patel</t>
  </si>
  <si>
    <t>10 years</t>
  </si>
  <si>
    <t>CALIBRATION CERTIFICATE - ELECTRONIC SCALE</t>
  </si>
  <si>
    <t>CALIBRATION CERTIFICATE - ANALYTICAL BALANCE</t>
  </si>
  <si>
    <t>CALIBRATION CERTIFICATE - pH METER</t>
  </si>
  <si>
    <t>CALIBRATION CERTIFICATE - BOD INCUBATOR</t>
  </si>
  <si>
    <t>CALIBRATION CERTIFICATE - OVEN</t>
  </si>
  <si>
    <t>CALIBRATION CERTIFICATE - BOMB CALORIMETER-(LIQUID BATH)</t>
  </si>
  <si>
    <t>CALIBRATION CERTIFICATE - TURBIDITY METER</t>
  </si>
  <si>
    <t>CALIBRATION CERTIFICATE - CONDUCTIVITY METER</t>
  </si>
  <si>
    <t>CALIBRATION CERTIFICATE - MUFFLE FURNACE</t>
  </si>
  <si>
    <t>20DAYS</t>
  </si>
  <si>
    <t>10DAYS</t>
  </si>
  <si>
    <t>5DAYS</t>
  </si>
  <si>
    <t>45DAYS</t>
  </si>
  <si>
    <t>30DAYS</t>
  </si>
  <si>
    <t>7DAYS</t>
  </si>
  <si>
    <t>2DAYS</t>
  </si>
  <si>
    <t>One Time</t>
  </si>
  <si>
    <t>Custodian</t>
  </si>
  <si>
    <t>Norbert</t>
  </si>
  <si>
    <t>Pavan Gandhi</t>
  </si>
  <si>
    <t>Sankalp</t>
  </si>
  <si>
    <t xml:space="preserve">AIR BLASTER 10PCS WITH SWP IN RANGE OF 8 BAR TO 11. BAR DEFENDING TO THE SIZE OF HOPPER INSTALLED </t>
  </si>
  <si>
    <t>Rawat</t>
  </si>
  <si>
    <t>Godhania</t>
  </si>
  <si>
    <t>Kishor</t>
  </si>
  <si>
    <t>Pradeep Kumar</t>
  </si>
  <si>
    <t>Sophia</t>
  </si>
  <si>
    <t>Calibration certificate - Low resistance meter DLRO 10HD make Megger</t>
  </si>
  <si>
    <t xml:space="preserve">Certificate of Correctness - Petroleum Measurement Unit </t>
  </si>
  <si>
    <t>Chemicals Permit to Transport Cement</t>
  </si>
  <si>
    <t>Environmental Impact Assessment Certificate for construction of  Lake Cement Plant and Limestone Mining</t>
  </si>
  <si>
    <t>Occupational Safety and Health Authority (OSHA)</t>
  </si>
  <si>
    <t>Compensation to employees for disablement or death caused or resulting injuries or diseases sustain in the course of employment</t>
  </si>
  <si>
    <t>Quarterly Submission to Immigration - Expat Details</t>
  </si>
  <si>
    <t>Withholding Tax PAYMENT &amp; RETURN</t>
  </si>
  <si>
    <t>City Service Levy PAYMENT &amp; RETURN</t>
  </si>
  <si>
    <t>Brela/ Municipal council</t>
  </si>
  <si>
    <t>Chirag</t>
  </si>
  <si>
    <t>Annual Renewal</t>
  </si>
  <si>
    <t>Electricity own use(Base load &amp; standby) generation license no:BEGL-2016-001</t>
  </si>
  <si>
    <t>Business License for Transportation of Cement</t>
  </si>
  <si>
    <t>Compliance License</t>
  </si>
  <si>
    <t>Membership CTI</t>
  </si>
  <si>
    <t>License - Business License - HO, Ilala</t>
  </si>
  <si>
    <t>Steam Boiler examination</t>
  </si>
  <si>
    <t>Steam receiver examination</t>
  </si>
  <si>
    <t>License No.</t>
  </si>
  <si>
    <t>Location</t>
  </si>
  <si>
    <t xml:space="preserve">License Type </t>
  </si>
  <si>
    <t>Mining Lease (Date of Issue - 24/05/10)</t>
  </si>
  <si>
    <t>Rent @ US $12,320</t>
  </si>
  <si>
    <t xml:space="preserve">Mining Royalty Returns </t>
  </si>
  <si>
    <t>Mining Plan Compliance Report (before 30th Jan)</t>
  </si>
  <si>
    <t>Local Content Implementation Plan (before 15th Jan)</t>
  </si>
  <si>
    <t>Local Content Compliance Annual Report (before 30th Jan)</t>
  </si>
  <si>
    <t xml:space="preserve">Submission of CSR Plan to Local Municipal Council / Ward for the next year (before July) </t>
  </si>
  <si>
    <t>Mines Closure Plan</t>
  </si>
  <si>
    <t xml:space="preserve">Hydrogeological Investigation </t>
  </si>
  <si>
    <t>Submission of compensation plan for the surface right owners within lease area to MC</t>
  </si>
  <si>
    <t>Demarcation of lease boundary with coordinates displayed at site</t>
  </si>
  <si>
    <t>Providing fence or rock bund along the lease boundary for prevention of unauthorized entry</t>
  </si>
  <si>
    <t>Mandatory Insurance of own mining assets, covering- environmental damage, third party loss of property, bodily damage directly attributable to the mining operations</t>
  </si>
  <si>
    <t>Monthly mining royalty returns in prescribed format</t>
  </si>
  <si>
    <t>Quarterly mining royalty returns prescribed format</t>
  </si>
  <si>
    <t>Maintain the records of all the boreholes drilled within lease area</t>
  </si>
  <si>
    <t>Display of Safety Signage at prominently and key locations as needed</t>
  </si>
  <si>
    <t>Compliance to the Environmental Act</t>
  </si>
  <si>
    <t>Maintain a distance of minimum 200 meters from any Govt. or public building already in existence at the time of granting of lease</t>
  </si>
  <si>
    <t>Maintain a distance of at least 1000 meters from any aerodrome or Helipad</t>
  </si>
  <si>
    <t>Pollution control - Water sprinkling on all haul roads for dust suppression</t>
  </si>
  <si>
    <t>Certificate of Correctness - Prepackages (2 x Roto Packer 8 Spout 5Okg)</t>
  </si>
  <si>
    <t xml:space="preserve">Certificate of Correctness - Mining Weighing Bridge 80 Tons (Sr. No. 2503202001) </t>
  </si>
  <si>
    <t>One time</t>
  </si>
  <si>
    <t>Marina</t>
  </si>
  <si>
    <t>Muneesh Kumar</t>
  </si>
  <si>
    <t>Not active</t>
  </si>
  <si>
    <t>20.01.2025</t>
  </si>
  <si>
    <t>31.01.2026</t>
  </si>
  <si>
    <t xml:space="preserve">Fire &amp; Rescue </t>
  </si>
  <si>
    <t>01.01.2025</t>
  </si>
  <si>
    <t>31.12.2025</t>
  </si>
  <si>
    <t>26.08.2025</t>
  </si>
  <si>
    <t>26.08.2026</t>
  </si>
  <si>
    <t>29.08.2024</t>
  </si>
  <si>
    <t>29.08.2025</t>
  </si>
  <si>
    <t>21.11.2024</t>
  </si>
  <si>
    <t>21.11.2025</t>
  </si>
  <si>
    <t>31.05.2028</t>
  </si>
  <si>
    <t>Pending with TBS</t>
  </si>
  <si>
    <t>17.07.2024</t>
  </si>
  <si>
    <t>17.08.2025</t>
  </si>
  <si>
    <t>13.07.2023</t>
  </si>
  <si>
    <t>12.07.2028</t>
  </si>
  <si>
    <t>MINING COMPLIANCE MASTER</t>
  </si>
  <si>
    <t>Resource</t>
  </si>
  <si>
    <t>Limestone</t>
  </si>
  <si>
    <t>Kimbiji, Kigamboni</t>
  </si>
  <si>
    <t>Sq.Km</t>
  </si>
  <si>
    <t xml:space="preserve">ML - Industrial Minerals </t>
  </si>
  <si>
    <t xml:space="preserve">Status </t>
  </si>
  <si>
    <t xml:space="preserve">Due Next </t>
  </si>
  <si>
    <t>Responsibility L1</t>
  </si>
  <si>
    <t>Responsibility L2</t>
  </si>
  <si>
    <t xml:space="preserve">Every 10 Years </t>
  </si>
  <si>
    <t>PSS Sajiv</t>
  </si>
  <si>
    <t>Complied</t>
  </si>
  <si>
    <t>24/05/2026</t>
  </si>
  <si>
    <t>Annual (before 15th Jan)</t>
  </si>
  <si>
    <t>Mukesh Agrawal</t>
  </si>
  <si>
    <t>Annual (before 30th Jan)</t>
  </si>
  <si>
    <t>Annual (before July)</t>
  </si>
  <si>
    <t>One-time, Review Every 3 yrs</t>
  </si>
  <si>
    <t>Approved with conditions</t>
  </si>
  <si>
    <t>Every 3 yrs</t>
  </si>
  <si>
    <t>Partially complied</t>
  </si>
  <si>
    <t>One-time. To be reviewed annually</t>
  </si>
  <si>
    <t>Should cover the lease period</t>
  </si>
  <si>
    <t>Punit Aswala</t>
  </si>
  <si>
    <t>Sankalp Jaithalia</t>
  </si>
  <si>
    <t>Monthly (before 4th)</t>
  </si>
  <si>
    <t>Quarterly - (Jan/Apr/July/Oct by 15th)</t>
  </si>
  <si>
    <t>15/01/2026</t>
  </si>
  <si>
    <t>Continuous</t>
  </si>
  <si>
    <t>To be reviewed periodically</t>
  </si>
  <si>
    <t xml:space="preserve">Note </t>
  </si>
  <si>
    <t>Payment of Ushuru to local Municipal Council for transport od sand from Kijaka</t>
  </si>
  <si>
    <t>As &amp; when required</t>
  </si>
  <si>
    <t>Mining Lease (Date of Issue - 30/09/15)</t>
  </si>
  <si>
    <t>30/09/2025</t>
  </si>
  <si>
    <t>Rent @ US$ 10,120 or Tsh 25,603,600</t>
  </si>
  <si>
    <t>Not complied</t>
  </si>
  <si>
    <t>Under preparation</t>
  </si>
  <si>
    <t>Will be done as part of MCP</t>
  </si>
  <si>
    <t>Complied. To be verified once again.</t>
  </si>
  <si>
    <t>15/01/2015</t>
  </si>
  <si>
    <t>To be verified</t>
  </si>
  <si>
    <t>One operations start</t>
  </si>
  <si>
    <t>PL/31929/25</t>
  </si>
  <si>
    <t>Prospective License (Date of Issue - xxxxxxx)</t>
  </si>
  <si>
    <t>1st renewal 4 yrs, 2nd renewal 3 yrs, 3rd renewal 2 yrs, extension 2 yrs</t>
  </si>
  <si>
    <t>Application done on 11/07/2025, Recommended</t>
  </si>
  <si>
    <t>Rent @ Tsh 538,000</t>
  </si>
  <si>
    <t>Clay, Limestone</t>
  </si>
  <si>
    <t>Prospective License (Date of Issue - 02/02/2022)</t>
  </si>
  <si>
    <t xml:space="preserve">Active, Modify for Buyuni at Renewal </t>
  </si>
  <si>
    <t>Payment @ US$ 1,140</t>
  </si>
  <si>
    <t xml:space="preserve">Active </t>
  </si>
  <si>
    <t>Primary Mining License - renewable after 7 years</t>
  </si>
  <si>
    <t>Level 1</t>
  </si>
  <si>
    <t>Level 2</t>
  </si>
  <si>
    <t>07.01.2025</t>
  </si>
  <si>
    <t>06.01.2026</t>
  </si>
  <si>
    <t>02.06.2025</t>
  </si>
  <si>
    <t>01.06.2026</t>
  </si>
  <si>
    <t>Under renewal</t>
  </si>
  <si>
    <t>17.05.2024</t>
  </si>
  <si>
    <t>17.05.2025</t>
  </si>
  <si>
    <t>27.05.2024</t>
  </si>
  <si>
    <t>27.05.2025</t>
  </si>
  <si>
    <t>13.08.2025</t>
  </si>
  <si>
    <t>16.08.2026</t>
  </si>
  <si>
    <t>02.12.2025</t>
  </si>
  <si>
    <t>17.12.2026</t>
  </si>
  <si>
    <t>06.06.2025</t>
  </si>
  <si>
    <t>29.06.2026</t>
  </si>
  <si>
    <t>31.01.2024</t>
  </si>
  <si>
    <t>19.02.2025</t>
  </si>
  <si>
    <t>02.01.2025</t>
  </si>
  <si>
    <t>01.01.2026</t>
  </si>
  <si>
    <t>01.07.2024</t>
  </si>
  <si>
    <t>01.07.2027</t>
  </si>
  <si>
    <t>Machine # 1</t>
  </si>
  <si>
    <t>Machine # 2</t>
  </si>
  <si>
    <t>02.07.2025</t>
  </si>
  <si>
    <t>01.07.2026</t>
  </si>
  <si>
    <t>Under renewal. Inspection done</t>
  </si>
  <si>
    <t>31.12.2024</t>
  </si>
  <si>
    <t>26.05.2025</t>
  </si>
  <si>
    <t>25.05.2026</t>
  </si>
  <si>
    <t>05.08.2025</t>
  </si>
  <si>
    <t>04.08.2030</t>
  </si>
  <si>
    <t>Under renewal, Inspection done</t>
  </si>
  <si>
    <t>07.10.2024</t>
  </si>
  <si>
    <t>07.10.2025</t>
  </si>
  <si>
    <t>08.02.2023</t>
  </si>
  <si>
    <t>07.02.2025</t>
  </si>
  <si>
    <t>Inspection is done</t>
  </si>
  <si>
    <t>ISO 14001 / ISO 45000 Certificates</t>
  </si>
  <si>
    <t>Silvia</t>
  </si>
  <si>
    <t>Integrated Management System Certificates</t>
  </si>
  <si>
    <t>ISO 9001:2015 Certificate</t>
  </si>
  <si>
    <t>16.01.2023</t>
  </si>
  <si>
    <t>15.01.2026</t>
  </si>
  <si>
    <t>29.05.2026</t>
  </si>
  <si>
    <t>28.05.2028</t>
  </si>
  <si>
    <t>COMPLIANCE MASTER</t>
  </si>
  <si>
    <t>To be reviewed after plant upgrade</t>
  </si>
  <si>
    <t>31.01.2025</t>
  </si>
  <si>
    <t>19.02.2026</t>
  </si>
  <si>
    <t>04.09.2021</t>
  </si>
  <si>
    <t>28.11.2011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</si>
</sst>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\2\2.\10.\20\1\8"/>
    <numFmt numFmtId="166" formatCode="0.0000%"/>
    <numFmt numFmtId="167" formatCode="###0;###0"/>
    <numFmt numFmtId="168" formatCode="[$-409]d\-mmm\-yy;@"/>
  </numFmts>
  <fonts count="4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8"/>
      <color rgb="FF000000"/>
      <name val="Calibri"/>
      <family val="2"/>
    </font>
    <font>
      <sz val="12"/>
      <name val="Times New Roman"/>
      <family val="1"/>
    </font>
    <font>
      <sz val="8"/>
      <name val="Calibri"/>
      <family val="2"/>
    </font>
    <font>
      <sz val="12"/>
      <color theme="1"/>
      <name val="Cambria"/>
      <family val="1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9"/>
      <name val="Calibri Light"/>
      <family val="2"/>
      <scheme val="major"/>
    </font>
    <font>
      <sz val="9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  <font>
      <b/>
      <sz val="9"/>
      <color rgb="FFFF0000"/>
      <name val="Calibri"/>
      <family val="2"/>
      <scheme val="minor"/>
    </font>
    <font>
      <b/>
      <sz val="9"/>
      <color rgb="FFFF0000"/>
      <name val="Calibri Light"/>
      <family val="2"/>
      <scheme val="major"/>
    </font>
    <font>
      <b/>
      <sz val="11"/>
      <color theme="8" tint="-0.499984740745262"/>
      <name val="Calibri"/>
      <family val="2"/>
      <scheme val="minor"/>
    </font>
    <font>
      <sz val="11"/>
      <color theme="1"/>
      <name val="Webdings"/>
      <family val="1"/>
      <charset val="2"/>
    </font>
    <font>
      <b/>
      <sz val="11"/>
      <color rgb="FFC00000"/>
      <name val="Calibri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4"/>
      <color theme="1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7" fillId="0" borderId="1" xfId="0" applyFont="1" applyBorder="1"/>
    <xf numFmtId="164" fontId="5" fillId="0" borderId="1" xfId="0" applyNumberFormat="1" applyFont="1" applyBorder="1"/>
    <xf numFmtId="14" fontId="5" fillId="0" borderId="1" xfId="0" applyNumberFormat="1" applyFont="1" applyBorder="1" applyAlignment="1">
      <alignment horizontal="left"/>
    </xf>
    <xf numFmtId="0" fontId="6" fillId="0" borderId="4" xfId="0" applyFont="1" applyBorder="1"/>
    <xf numFmtId="0" fontId="5" fillId="0" borderId="5" xfId="0" applyFont="1" applyBorder="1"/>
    <xf numFmtId="14" fontId="6" fillId="0" borderId="5" xfId="0" applyNumberFormat="1" applyFont="1" applyBorder="1" applyAlignment="1">
      <alignment horizontal="left"/>
    </xf>
    <xf numFmtId="164" fontId="6" fillId="0" borderId="5" xfId="0" applyNumberFormat="1" applyFont="1" applyBorder="1"/>
    <xf numFmtId="0" fontId="7" fillId="0" borderId="4" xfId="0" applyFont="1" applyBorder="1"/>
    <xf numFmtId="0" fontId="6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/>
    </xf>
    <xf numFmtId="164" fontId="5" fillId="0" borderId="5" xfId="0" applyNumberFormat="1" applyFont="1" applyBorder="1"/>
    <xf numFmtId="0" fontId="8" fillId="0" borderId="5" xfId="0" applyFont="1" applyBorder="1"/>
    <xf numFmtId="14" fontId="6" fillId="2" borderId="1" xfId="0" applyNumberFormat="1" applyFont="1" applyFill="1" applyBorder="1" applyAlignment="1">
      <alignment horizontal="left"/>
    </xf>
    <xf numFmtId="0" fontId="9" fillId="0" borderId="1" xfId="0" applyFont="1" applyBorder="1"/>
    <xf numFmtId="14" fontId="7" fillId="0" borderId="1" xfId="0" applyNumberFormat="1" applyFont="1" applyBorder="1" applyAlignment="1">
      <alignment horizontal="left"/>
    </xf>
    <xf numFmtId="0" fontId="11" fillId="0" borderId="4" xfId="0" applyFont="1" applyBorder="1"/>
    <xf numFmtId="49" fontId="6" fillId="0" borderId="1" xfId="0" applyNumberFormat="1" applyFont="1" applyBorder="1" applyAlignment="1">
      <alignment horizontal="left"/>
    </xf>
    <xf numFmtId="0" fontId="7" fillId="0" borderId="4" xfId="0" applyFont="1" applyBorder="1" applyAlignment="1">
      <alignment wrapText="1"/>
    </xf>
    <xf numFmtId="0" fontId="6" fillId="0" borderId="0" xfId="0" applyFont="1"/>
    <xf numFmtId="165" fontId="5" fillId="0" borderId="1" xfId="0" applyNumberFormat="1" applyFont="1" applyBorder="1"/>
    <xf numFmtId="0" fontId="5" fillId="2" borderId="0" xfId="0" applyFont="1" applyFill="1"/>
    <xf numFmtId="0" fontId="5" fillId="2" borderId="1" xfId="0" applyFont="1" applyFill="1" applyBorder="1"/>
    <xf numFmtId="0" fontId="5" fillId="0" borderId="1" xfId="0" applyFont="1" applyBorder="1" applyAlignment="1">
      <alignment horizontal="center" wrapText="1"/>
    </xf>
    <xf numFmtId="0" fontId="6" fillId="0" borderId="3" xfId="0" applyFont="1" applyBorder="1"/>
    <xf numFmtId="0" fontId="6" fillId="2" borderId="1" xfId="0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10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1" xfId="0" applyFill="1" applyBorder="1"/>
    <xf numFmtId="166" fontId="0" fillId="0" borderId="1" xfId="1" applyNumberFormat="1" applyFon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1" xfId="0" applyFont="1" applyBorder="1"/>
    <xf numFmtId="0" fontId="1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/>
    <xf numFmtId="0" fontId="12" fillId="0" borderId="3" xfId="0" applyFont="1" applyBorder="1"/>
    <xf numFmtId="0" fontId="12" fillId="0" borderId="8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3" xfId="0" applyFont="1" applyFill="1" applyBorder="1"/>
    <xf numFmtId="0" fontId="12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3" xfId="0" applyFont="1" applyFill="1" applyBorder="1"/>
    <xf numFmtId="0" fontId="4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  <xf numFmtId="0" fontId="20" fillId="5" borderId="19" xfId="0" applyFont="1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4" fillId="0" borderId="1" xfId="0" applyFont="1" applyBorder="1" applyAlignment="1">
      <alignment vertical="center" wrapText="1"/>
    </xf>
    <xf numFmtId="0" fontId="0" fillId="6" borderId="0" xfId="0" applyFill="1"/>
    <xf numFmtId="0" fontId="0" fillId="6" borderId="0" xfId="0" applyFill="1" applyAlignment="1">
      <alignment vertical="center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/>
    <xf numFmtId="0" fontId="4" fillId="6" borderId="0" xfId="0" applyFont="1" applyFill="1"/>
    <xf numFmtId="0" fontId="21" fillId="0" borderId="1" xfId="0" applyFont="1" applyBorder="1" applyAlignment="1">
      <alignment horizontal="left"/>
    </xf>
    <xf numFmtId="15" fontId="0" fillId="0" borderId="1" xfId="0" applyNumberFormat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14" fontId="0" fillId="0" borderId="1" xfId="0" applyNumberFormat="1" applyBorder="1"/>
    <xf numFmtId="14" fontId="0" fillId="0" borderId="0" xfId="0" applyNumberFormat="1"/>
    <xf numFmtId="0" fontId="26" fillId="0" borderId="1" xfId="0" applyFont="1" applyBorder="1" applyAlignment="1">
      <alignment horizontal="center"/>
    </xf>
    <xf numFmtId="0" fontId="0" fillId="7" borderId="0" xfId="0" applyFill="1"/>
    <xf numFmtId="0" fontId="16" fillId="7" borderId="0" xfId="0" applyFont="1" applyFill="1"/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4" fillId="0" borderId="5" xfId="0" applyFont="1" applyBorder="1" applyAlignment="1">
      <alignment vertical="center"/>
    </xf>
    <xf numFmtId="168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1" fillId="0" borderId="0" xfId="0" applyNumberFormat="1" applyFont="1"/>
    <xf numFmtId="0" fontId="29" fillId="0" borderId="1" xfId="0" applyFont="1" applyBorder="1"/>
    <xf numFmtId="0" fontId="30" fillId="0" borderId="1" xfId="0" applyFont="1" applyBorder="1"/>
    <xf numFmtId="0" fontId="29" fillId="2" borderId="1" xfId="0" applyFont="1" applyFill="1" applyBorder="1"/>
    <xf numFmtId="0" fontId="29" fillId="0" borderId="5" xfId="0" applyFont="1" applyBorder="1"/>
    <xf numFmtId="0" fontId="29" fillId="0" borderId="1" xfId="0" applyFont="1" applyBorder="1" applyAlignment="1">
      <alignment horizontal="left"/>
    </xf>
    <xf numFmtId="0" fontId="31" fillId="0" borderId="1" xfId="0" applyFont="1" applyBorder="1"/>
    <xf numFmtId="0" fontId="32" fillId="0" borderId="1" xfId="0" applyFont="1" applyBorder="1"/>
    <xf numFmtId="0" fontId="33" fillId="0" borderId="1" xfId="0" applyFont="1" applyBorder="1"/>
    <xf numFmtId="0" fontId="30" fillId="0" borderId="1" xfId="0" applyFont="1" applyBorder="1" applyAlignment="1">
      <alignment wrapText="1"/>
    </xf>
    <xf numFmtId="164" fontId="31" fillId="0" borderId="1" xfId="0" applyNumberFormat="1" applyFont="1" applyBorder="1"/>
    <xf numFmtId="0" fontId="31" fillId="0" borderId="1" xfId="0" applyFont="1" applyBorder="1" applyAlignment="1">
      <alignment horizontal="left"/>
    </xf>
    <xf numFmtId="0" fontId="34" fillId="0" borderId="1" xfId="0" applyFont="1" applyBorder="1"/>
    <xf numFmtId="0" fontId="8" fillId="0" borderId="1" xfId="0" applyFont="1" applyBorder="1" applyAlignment="1">
      <alignment vertical="center"/>
    </xf>
    <xf numFmtId="0" fontId="35" fillId="0" borderId="1" xfId="0" applyFont="1" applyBorder="1"/>
    <xf numFmtId="0" fontId="34" fillId="2" borderId="1" xfId="0" applyFont="1" applyFill="1" applyBorder="1"/>
    <xf numFmtId="14" fontId="34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wrapText="1"/>
    </xf>
    <xf numFmtId="14" fontId="35" fillId="0" borderId="1" xfId="0" applyNumberFormat="1" applyFont="1" applyBorder="1" applyAlignment="1">
      <alignment horizontal="left"/>
    </xf>
    <xf numFmtId="14" fontId="31" fillId="0" borderId="1" xfId="0" applyNumberFormat="1" applyFont="1" applyBorder="1" applyAlignment="1">
      <alignment horizontal="left"/>
    </xf>
    <xf numFmtId="165" fontId="31" fillId="0" borderId="1" xfId="0" applyNumberFormat="1" applyFont="1" applyBorder="1"/>
    <xf numFmtId="164" fontId="34" fillId="0" borderId="1" xfId="0" applyNumberFormat="1" applyFont="1" applyBorder="1"/>
    <xf numFmtId="0" fontId="34" fillId="0" borderId="1" xfId="0" applyFont="1" applyBorder="1" applyAlignment="1">
      <alignment horizontal="left"/>
    </xf>
    <xf numFmtId="165" fontId="8" fillId="0" borderId="1" xfId="0" applyNumberFormat="1" applyFont="1" applyBorder="1"/>
    <xf numFmtId="14" fontId="8" fillId="0" borderId="1" xfId="0" applyNumberFormat="1" applyFont="1" applyBorder="1" applyAlignment="1">
      <alignment horizontal="left"/>
    </xf>
    <xf numFmtId="164" fontId="36" fillId="0" borderId="1" xfId="0" applyNumberFormat="1" applyFont="1" applyBorder="1" applyAlignment="1">
      <alignment horizontal="center"/>
    </xf>
    <xf numFmtId="14" fontId="34" fillId="2" borderId="1" xfId="0" applyNumberFormat="1" applyFont="1" applyFill="1" applyBorder="1" applyAlignment="1">
      <alignment horizontal="left"/>
    </xf>
    <xf numFmtId="14" fontId="37" fillId="0" borderId="1" xfId="0" applyNumberFormat="1" applyFont="1" applyBorder="1" applyAlignment="1">
      <alignment horizontal="left"/>
    </xf>
    <xf numFmtId="164" fontId="8" fillId="0" borderId="1" xfId="0" applyNumberFormat="1" applyFont="1" applyBorder="1"/>
    <xf numFmtId="0" fontId="37" fillId="0" borderId="1" xfId="0" applyFont="1" applyBorder="1"/>
    <xf numFmtId="0" fontId="29" fillId="7" borderId="1" xfId="0" applyFont="1" applyFill="1" applyBorder="1"/>
    <xf numFmtId="0" fontId="32" fillId="6" borderId="1" xfId="0" applyFont="1" applyFill="1" applyBorder="1"/>
    <xf numFmtId="0" fontId="4" fillId="4" borderId="23" xfId="0" applyFont="1" applyFill="1" applyBorder="1" applyAlignment="1">
      <alignment horizontal="center" vertical="center"/>
    </xf>
    <xf numFmtId="0" fontId="16" fillId="0" borderId="1" xfId="0" applyFont="1" applyBorder="1"/>
    <xf numFmtId="0" fontId="38" fillId="0" borderId="1" xfId="0" applyFont="1" applyBorder="1"/>
    <xf numFmtId="164" fontId="39" fillId="0" borderId="1" xfId="0" applyNumberFormat="1" applyFont="1" applyBorder="1"/>
    <xf numFmtId="14" fontId="39" fillId="0" borderId="1" xfId="0" applyNumberFormat="1" applyFont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wrapText="1"/>
    </xf>
    <xf numFmtId="14" fontId="40" fillId="0" borderId="0" xfId="0" applyNumberFormat="1" applyFont="1"/>
    <xf numFmtId="0" fontId="40" fillId="6" borderId="0" xfId="0" applyFont="1" applyFill="1"/>
    <xf numFmtId="0" fontId="40" fillId="8" borderId="0" xfId="0" applyFont="1" applyFill="1"/>
    <xf numFmtId="0" fontId="40" fillId="7" borderId="0" xfId="0" applyFont="1" applyFill="1"/>
    <xf numFmtId="0" fontId="4" fillId="9" borderId="0" xfId="0" applyFont="1" applyFill="1"/>
    <xf numFmtId="0" fontId="0" fillId="9" borderId="0" xfId="0" applyFill="1"/>
    <xf numFmtId="0" fontId="0" fillId="9" borderId="0" xfId="0" applyFill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15" fontId="1" fillId="0" borderId="34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2" fillId="0" borderId="5" xfId="0" applyFont="1" applyBorder="1" applyAlignment="1">
      <alignment vertical="center"/>
    </xf>
    <xf numFmtId="0" fontId="42" fillId="0" borderId="5" xfId="0" applyFont="1" applyBorder="1" applyAlignment="1">
      <alignment vertical="center" wrapText="1"/>
    </xf>
    <xf numFmtId="0" fontId="42" fillId="0" borderId="12" xfId="0" applyFont="1" applyBorder="1" applyAlignment="1">
      <alignment vertical="center"/>
    </xf>
    <xf numFmtId="0" fontId="42" fillId="0" borderId="34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6" borderId="29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164" fontId="1" fillId="0" borderId="34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42" fillId="0" borderId="32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33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34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5" fontId="1" fillId="0" borderId="0" xfId="0" applyNumberFormat="1" applyFont="1" applyAlignment="1">
      <alignment vertical="center"/>
    </xf>
    <xf numFmtId="15" fontId="42" fillId="0" borderId="0" xfId="0" applyNumberFormat="1" applyFont="1" applyAlignment="1">
      <alignment vertical="center"/>
    </xf>
    <xf numFmtId="1" fontId="42" fillId="0" borderId="0" xfId="0" applyNumberFormat="1" applyFont="1" applyAlignment="1">
      <alignment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6" borderId="30" xfId="0" applyFont="1" applyFill="1" applyBorder="1" applyAlignment="1">
      <alignment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2" fillId="0" borderId="3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42" fillId="0" borderId="34" xfId="0" applyFont="1" applyBorder="1" applyAlignment="1">
      <alignment horizontal="left" vertical="center"/>
    </xf>
    <xf numFmtId="0" fontId="42" fillId="0" borderId="34" xfId="0" applyFont="1" applyBorder="1" applyAlignment="1">
      <alignment horizontal="center" vertical="center"/>
    </xf>
    <xf numFmtId="168" fontId="42" fillId="0" borderId="34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vertical="center"/>
    </xf>
    <xf numFmtId="0" fontId="1" fillId="0" borderId="34" xfId="0" applyFont="1" applyBorder="1" applyAlignment="1">
      <alignment vertical="center" wrapText="1"/>
    </xf>
    <xf numFmtId="0" fontId="1" fillId="7" borderId="0" xfId="0" applyFont="1" applyFill="1" applyAlignment="1">
      <alignment vertical="center"/>
    </xf>
    <xf numFmtId="0" fontId="42" fillId="7" borderId="0" xfId="0" applyFont="1" applyFill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5" fontId="1" fillId="0" borderId="9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5" fontId="1" fillId="0" borderId="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left" vertical="center"/>
    </xf>
    <xf numFmtId="0" fontId="42" fillId="0" borderId="5" xfId="0" applyFont="1" applyBorder="1" applyAlignment="1">
      <alignment horizontal="left" vertical="center"/>
    </xf>
    <xf numFmtId="0" fontId="42" fillId="6" borderId="5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3" fillId="4" borderId="1" xfId="0" applyFont="1" applyFill="1" applyBorder="1" applyAlignment="1">
      <alignment vertical="center"/>
    </xf>
    <xf numFmtId="0" fontId="44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vertical="center" wrapText="1"/>
    </xf>
    <xf numFmtId="0" fontId="43" fillId="10" borderId="1" xfId="0" applyFont="1" applyFill="1" applyBorder="1" applyAlignment="1">
      <alignment horizontal="left" vertical="center" wrapText="1"/>
    </xf>
    <xf numFmtId="0" fontId="43" fillId="10" borderId="1" xfId="0" applyFont="1" applyFill="1" applyBorder="1" applyAlignment="1">
      <alignment vertical="center"/>
    </xf>
    <xf numFmtId="0" fontId="43" fillId="10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0" fillId="0" borderId="5" xfId="0" quotePrefix="1" applyBorder="1" applyAlignment="1">
      <alignment horizontal="left"/>
    </xf>
    <xf numFmtId="0" fontId="0" fillId="0" borderId="9" xfId="0" quotePrefix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5" xfId="0" applyNumberFormat="1" applyBorder="1" applyAlignment="1">
      <alignment horizontal="center" wrapText="1"/>
    </xf>
    <xf numFmtId="14" fontId="0" fillId="0" borderId="9" xfId="0" applyNumberFormat="1" applyBorder="1" applyAlignment="1">
      <alignment horizont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/>
    </xf>
    <xf numFmtId="168" fontId="1" fillId="0" borderId="12" xfId="0" applyNumberFormat="1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9" xfId="0" applyFont="1" applyBorder="1" applyAlignment="1">
      <alignment horizontal="center" vertical="center"/>
    </xf>
    <xf numFmtId="0" fontId="42" fillId="0" borderId="37" xfId="0" applyFont="1" applyBorder="1" applyAlignment="1">
      <alignment vertical="center"/>
    </xf>
    <xf numFmtId="0" fontId="45" fillId="0" borderId="0" xfId="0" applyFont="1" applyAlignment="1">
      <alignment vertical="top"/>
    </xf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vertical="top"/>
    </xf>
    <xf numFmtId="0" fontId="44" fillId="0" borderId="5" xfId="0" applyFont="1" applyBorder="1" applyAlignment="1">
      <alignment horizontal="center" vertical="top"/>
    </xf>
    <xf numFmtId="0" fontId="43" fillId="4" borderId="1" xfId="0" applyFont="1" applyFill="1" applyBorder="1" applyAlignment="1">
      <alignment horizontal="left" vertical="center"/>
    </xf>
    <xf numFmtId="0" fontId="44" fillId="0" borderId="2" xfId="0" applyFont="1" applyBorder="1" applyAlignment="1">
      <alignment horizontal="center" vertical="top"/>
    </xf>
    <xf numFmtId="0" fontId="44" fillId="10" borderId="1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14" fontId="43" fillId="10" borderId="1" xfId="0" applyNumberFormat="1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vertical="center" wrapText="1"/>
    </xf>
    <xf numFmtId="0" fontId="44" fillId="10" borderId="1" xfId="0" applyFont="1" applyFill="1" applyBorder="1" applyAlignment="1">
      <alignment horizontal="left" vertical="center" wrapText="1"/>
    </xf>
    <xf numFmtId="0" fontId="44" fillId="0" borderId="9" xfId="0" applyFont="1" applyBorder="1" applyAlignment="1">
      <alignment horizontal="center" vertical="top"/>
    </xf>
    <xf numFmtId="0" fontId="43" fillId="0" borderId="0" xfId="0" applyFont="1" applyAlignment="1">
      <alignment vertical="top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4" fillId="0" borderId="1" xfId="0" applyFont="1" applyBorder="1" applyAlignment="1">
      <alignment horizontal="center" vertical="top"/>
    </xf>
    <xf numFmtId="14" fontId="43" fillId="10" borderId="1" xfId="0" applyNumberFormat="1" applyFont="1" applyFill="1" applyBorder="1" applyAlignment="1">
      <alignment horizontal="left" vertical="center" wrapText="1"/>
    </xf>
    <xf numFmtId="0" fontId="44" fillId="0" borderId="1" xfId="0" applyFont="1" applyBorder="1" applyAlignment="1">
      <alignment vertical="top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43" fillId="0" borderId="1" xfId="0" applyFont="1" applyBorder="1" applyAlignment="1">
      <alignment horizontal="left" vertical="center"/>
    </xf>
    <xf numFmtId="14" fontId="44" fillId="10" borderId="1" xfId="0" applyNumberFormat="1" applyFont="1" applyFill="1" applyBorder="1" applyAlignment="1">
      <alignment horizontal="left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7" fontId="1" fillId="0" borderId="5" xfId="0" applyNumberFormat="1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5" xfId="0" applyNumberFormat="1" applyFont="1" applyFill="1" applyBorder="1" applyAlignment="1">
      <alignment horizontal="center" vertical="center"/>
    </xf>
    <xf numFmtId="167" fontId="1" fillId="0" borderId="33" xfId="0" applyNumberFormat="1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167" fontId="1" fillId="0" borderId="17" xfId="0" applyNumberFormat="1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/>
    </xf>
    <xf numFmtId="14" fontId="1" fillId="0" borderId="34" xfId="0" applyNumberFormat="1" applyFont="1" applyBorder="1" applyAlignment="1">
      <alignment horizontal="center" vertical="center"/>
    </xf>
    <xf numFmtId="164" fontId="1" fillId="0" borderId="9" xfId="0" applyNumberFormat="1" applyFont="1" applyFill="1" applyBorder="1" applyAlignment="1">
      <alignment vertical="center"/>
    </xf>
    <xf numFmtId="14" fontId="1" fillId="0" borderId="9" xfId="0" applyNumberFormat="1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zoomScale="80" zoomScaleNormal="80" workbookViewId="0">
      <selection activeCell="D6" sqref="D6"/>
    </sheetView>
  </sheetViews>
  <sheetFormatPr defaultRowHeight="15" x14ac:dyDescent="0.25"/>
  <cols>
    <col min="2" max="2" width="57.140625" bestFit="1" customWidth="1"/>
    <col min="3" max="3" width="52.42578125" bestFit="1" customWidth="1"/>
    <col min="4" max="4" width="31.85546875" bestFit="1" customWidth="1"/>
    <col min="5" max="5" width="11.5703125" bestFit="1" customWidth="1"/>
    <col min="6" max="6" width="12.42578125" bestFit="1" customWidth="1"/>
    <col min="7" max="7" width="39.85546875" bestFit="1" customWidth="1"/>
  </cols>
  <sheetData>
    <row r="1" spans="1:10" s="72" customFormat="1" ht="15.75" x14ac:dyDescent="0.25">
      <c r="A1" s="9"/>
      <c r="B1" s="66"/>
      <c r="C1" s="67" t="s">
        <v>410</v>
      </c>
      <c r="D1" s="68"/>
      <c r="E1" s="69"/>
      <c r="F1" s="70"/>
      <c r="G1" s="71"/>
      <c r="H1" s="9"/>
      <c r="I1" s="9"/>
    </row>
    <row r="2" spans="1:10" s="72" customFormat="1" x14ac:dyDescent="0.25">
      <c r="A2" s="13"/>
      <c r="B2" s="73"/>
      <c r="C2" s="74" t="s">
        <v>411</v>
      </c>
      <c r="D2" s="75" t="s">
        <v>112</v>
      </c>
      <c r="E2" s="76"/>
      <c r="F2" s="77"/>
      <c r="G2" s="78"/>
      <c r="H2" s="9"/>
      <c r="I2" s="9"/>
      <c r="J2" s="72" t="s">
        <v>112</v>
      </c>
    </row>
    <row r="3" spans="1:10" s="9" customFormat="1" ht="12.75" x14ac:dyDescent="0.2">
      <c r="A3" s="73" t="s">
        <v>412</v>
      </c>
      <c r="B3" s="79" t="s">
        <v>413</v>
      </c>
      <c r="C3" s="79" t="s">
        <v>414</v>
      </c>
      <c r="D3" s="79" t="s">
        <v>415</v>
      </c>
      <c r="E3" s="291" t="s">
        <v>416</v>
      </c>
      <c r="F3" s="292"/>
      <c r="G3" s="80" t="s">
        <v>417</v>
      </c>
      <c r="H3" s="81" t="s">
        <v>418</v>
      </c>
      <c r="I3" s="82" t="s">
        <v>419</v>
      </c>
      <c r="J3" s="81" t="s">
        <v>420</v>
      </c>
    </row>
    <row r="4" spans="1:10" s="9" customFormat="1" ht="12.75" x14ac:dyDescent="0.2">
      <c r="A4" s="13" t="s">
        <v>112</v>
      </c>
      <c r="B4" s="79"/>
      <c r="C4" s="79"/>
      <c r="D4" s="83"/>
      <c r="E4" s="79" t="s">
        <v>421</v>
      </c>
      <c r="F4" s="79" t="s">
        <v>422</v>
      </c>
      <c r="G4" s="80"/>
      <c r="H4" s="84"/>
      <c r="I4" s="85"/>
      <c r="J4" s="84"/>
    </row>
    <row r="6" spans="1:10" x14ac:dyDescent="0.25">
      <c r="F6" t="s">
        <v>46</v>
      </c>
    </row>
    <row r="7" spans="1:10" x14ac:dyDescent="0.25">
      <c r="E7" t="s">
        <v>45</v>
      </c>
      <c r="F7" t="s">
        <v>47</v>
      </c>
    </row>
    <row r="8" spans="1:10" ht="60" x14ac:dyDescent="0.25">
      <c r="B8" s="2" t="s">
        <v>1</v>
      </c>
      <c r="C8" s="4" t="s">
        <v>2</v>
      </c>
      <c r="D8" s="4" t="s">
        <v>3</v>
      </c>
      <c r="E8" s="3" t="s">
        <v>4</v>
      </c>
      <c r="F8" s="5"/>
      <c r="G8" s="5"/>
    </row>
    <row r="9" spans="1:10" ht="60" x14ac:dyDescent="0.25">
      <c r="B9" s="2" t="s">
        <v>1</v>
      </c>
      <c r="C9" s="4" t="s">
        <v>5</v>
      </c>
      <c r="D9" s="4" t="s">
        <v>3</v>
      </c>
      <c r="E9" s="3" t="s">
        <v>4</v>
      </c>
      <c r="F9" s="5"/>
      <c r="G9" s="5"/>
    </row>
    <row r="10" spans="1:10" ht="60" x14ac:dyDescent="0.25">
      <c r="B10" s="2" t="s">
        <v>1</v>
      </c>
      <c r="C10" s="4" t="s">
        <v>6</v>
      </c>
      <c r="D10" s="4" t="s">
        <v>3</v>
      </c>
      <c r="E10" s="3" t="s">
        <v>4</v>
      </c>
      <c r="F10" s="5"/>
      <c r="G10" s="5"/>
    </row>
    <row r="11" spans="1:10" ht="60" x14ac:dyDescent="0.25">
      <c r="B11" s="2" t="s">
        <v>1</v>
      </c>
      <c r="C11" s="4" t="s">
        <v>7</v>
      </c>
      <c r="D11" s="4" t="s">
        <v>8</v>
      </c>
      <c r="E11" s="3" t="s">
        <v>4</v>
      </c>
      <c r="F11" s="5"/>
      <c r="G11" s="5"/>
    </row>
    <row r="12" spans="1:10" ht="60" x14ac:dyDescent="0.25">
      <c r="B12" s="2" t="s">
        <v>1</v>
      </c>
      <c r="C12" s="4" t="s">
        <v>9</v>
      </c>
      <c r="D12" s="4" t="s">
        <v>9</v>
      </c>
      <c r="E12" s="3" t="s">
        <v>4</v>
      </c>
      <c r="F12" s="5"/>
      <c r="G12" s="5"/>
    </row>
    <row r="13" spans="1:10" ht="75" x14ac:dyDescent="0.25">
      <c r="B13" s="2" t="s">
        <v>1</v>
      </c>
      <c r="C13" s="4" t="s">
        <v>10</v>
      </c>
      <c r="D13" s="4" t="s">
        <v>11</v>
      </c>
      <c r="E13" s="3" t="s">
        <v>12</v>
      </c>
      <c r="F13" s="5"/>
      <c r="G13" s="5"/>
    </row>
    <row r="14" spans="1:10" ht="75" x14ac:dyDescent="0.25">
      <c r="B14" s="2" t="s">
        <v>1</v>
      </c>
      <c r="C14" s="4" t="s">
        <v>13</v>
      </c>
      <c r="D14" s="4" t="s">
        <v>3</v>
      </c>
      <c r="E14" s="3" t="s">
        <v>14</v>
      </c>
      <c r="F14" s="5"/>
      <c r="G14" s="5"/>
    </row>
    <row r="15" spans="1:10" x14ac:dyDescent="0.25">
      <c r="B15" s="2" t="s">
        <v>1</v>
      </c>
      <c r="C15" s="4" t="s">
        <v>28</v>
      </c>
      <c r="D15" s="4" t="s">
        <v>3</v>
      </c>
      <c r="E15" s="4" t="s">
        <v>15</v>
      </c>
      <c r="F15" s="5"/>
      <c r="G15" s="5"/>
    </row>
    <row r="16" spans="1:10" x14ac:dyDescent="0.25">
      <c r="B16" s="2" t="s">
        <v>1</v>
      </c>
      <c r="C16" s="4" t="s">
        <v>16</v>
      </c>
      <c r="D16" s="4" t="s">
        <v>17</v>
      </c>
      <c r="E16" s="4" t="s">
        <v>15</v>
      </c>
      <c r="F16" s="5"/>
      <c r="G16" s="5"/>
    </row>
    <row r="17" spans="2:7" x14ac:dyDescent="0.25">
      <c r="B17" s="2"/>
      <c r="C17" s="4" t="s">
        <v>18</v>
      </c>
      <c r="D17" s="4" t="s">
        <v>17</v>
      </c>
      <c r="E17" s="4" t="s">
        <v>0</v>
      </c>
      <c r="F17" s="5"/>
      <c r="G17" s="5"/>
    </row>
    <row r="18" spans="2:7" x14ac:dyDescent="0.25">
      <c r="B18" s="2" t="s">
        <v>1</v>
      </c>
      <c r="C18" s="4" t="s">
        <v>19</v>
      </c>
      <c r="D18" s="4" t="s">
        <v>20</v>
      </c>
      <c r="E18" s="4" t="s">
        <v>15</v>
      </c>
      <c r="F18" s="5"/>
      <c r="G18" s="5"/>
    </row>
    <row r="19" spans="2:7" x14ac:dyDescent="0.25">
      <c r="B19" s="2" t="s">
        <v>1</v>
      </c>
      <c r="C19" s="4" t="s">
        <v>21</v>
      </c>
      <c r="D19" s="4" t="s">
        <v>22</v>
      </c>
      <c r="E19" s="4" t="s">
        <v>15</v>
      </c>
      <c r="F19" s="5"/>
      <c r="G19" s="5"/>
    </row>
    <row r="20" spans="2:7" x14ac:dyDescent="0.25">
      <c r="B20" s="2" t="s">
        <v>1</v>
      </c>
      <c r="C20" s="4" t="s">
        <v>23</v>
      </c>
      <c r="D20" s="4" t="s">
        <v>3</v>
      </c>
      <c r="E20" s="4" t="s">
        <v>24</v>
      </c>
      <c r="F20" s="8" t="s">
        <v>48</v>
      </c>
      <c r="G20" s="5"/>
    </row>
    <row r="21" spans="2:7" ht="75" x14ac:dyDescent="0.25">
      <c r="B21" s="2" t="s">
        <v>1</v>
      </c>
      <c r="C21" s="4" t="s">
        <v>25</v>
      </c>
      <c r="D21" s="4" t="s">
        <v>3</v>
      </c>
      <c r="E21" s="3" t="s">
        <v>50</v>
      </c>
      <c r="F21" s="5"/>
      <c r="G21" s="5"/>
    </row>
    <row r="22" spans="2:7" x14ac:dyDescent="0.25">
      <c r="B22" s="2" t="s">
        <v>1</v>
      </c>
      <c r="C22" s="4" t="s">
        <v>49</v>
      </c>
      <c r="D22" s="4"/>
      <c r="E22" s="3"/>
      <c r="F22" s="5"/>
      <c r="G22" s="5"/>
    </row>
    <row r="23" spans="2:7" x14ac:dyDescent="0.25">
      <c r="B23" s="2" t="s">
        <v>30</v>
      </c>
      <c r="C23" s="4" t="s">
        <v>26</v>
      </c>
      <c r="D23" s="4"/>
      <c r="E23" s="4"/>
      <c r="F23" s="5"/>
      <c r="G23" s="5"/>
    </row>
    <row r="24" spans="2:7" x14ac:dyDescent="0.25">
      <c r="B24" s="2" t="s">
        <v>30</v>
      </c>
      <c r="C24" s="4" t="s">
        <v>27</v>
      </c>
      <c r="D24" s="4"/>
      <c r="E24" s="4"/>
      <c r="F24" s="4"/>
      <c r="G24" s="4"/>
    </row>
    <row r="25" spans="2:7" x14ac:dyDescent="0.25">
      <c r="B25" s="2" t="s">
        <v>30</v>
      </c>
      <c r="C25" s="4" t="s">
        <v>29</v>
      </c>
      <c r="D25" s="4"/>
      <c r="E25" s="4"/>
      <c r="F25" s="4"/>
      <c r="G25" s="4"/>
    </row>
    <row r="26" spans="2:7" x14ac:dyDescent="0.25">
      <c r="B26" s="2" t="s">
        <v>30</v>
      </c>
      <c r="C26" s="4" t="s">
        <v>31</v>
      </c>
      <c r="D26" s="4"/>
      <c r="E26" s="4"/>
      <c r="F26" s="4"/>
      <c r="G26" s="4"/>
    </row>
    <row r="27" spans="2:7" x14ac:dyDescent="0.25">
      <c r="B27" s="2" t="s">
        <v>1</v>
      </c>
      <c r="C27" s="4" t="s">
        <v>32</v>
      </c>
      <c r="D27" s="4"/>
      <c r="E27" s="4"/>
      <c r="F27" s="4"/>
      <c r="G27" s="4"/>
    </row>
    <row r="28" spans="2:7" x14ac:dyDescent="0.25">
      <c r="B28" s="2" t="s">
        <v>1</v>
      </c>
      <c r="C28" s="4" t="s">
        <v>33</v>
      </c>
      <c r="D28" s="4"/>
      <c r="E28" s="4"/>
      <c r="F28" s="4"/>
      <c r="G28" s="4"/>
    </row>
    <row r="29" spans="2:7" x14ac:dyDescent="0.25">
      <c r="B29" s="2" t="s">
        <v>1</v>
      </c>
      <c r="C29" s="4" t="s">
        <v>51</v>
      </c>
      <c r="D29" s="4"/>
      <c r="E29" s="4"/>
      <c r="F29" s="4"/>
      <c r="G29" s="4"/>
    </row>
    <row r="30" spans="2:7" x14ac:dyDescent="0.25">
      <c r="B30" s="2" t="s">
        <v>1</v>
      </c>
      <c r="C30" s="4" t="s">
        <v>52</v>
      </c>
      <c r="D30" s="4"/>
      <c r="E30" s="4"/>
      <c r="F30" s="4"/>
      <c r="G30" s="4"/>
    </row>
    <row r="31" spans="2:7" x14ac:dyDescent="0.25">
      <c r="B31" s="2" t="s">
        <v>1</v>
      </c>
      <c r="C31" s="4" t="s">
        <v>34</v>
      </c>
      <c r="D31" s="4"/>
      <c r="E31" s="4"/>
      <c r="F31" s="4"/>
      <c r="G31" s="4"/>
    </row>
    <row r="32" spans="2:7" x14ac:dyDescent="0.25">
      <c r="B32" s="2" t="s">
        <v>1</v>
      </c>
      <c r="C32" s="4" t="s">
        <v>53</v>
      </c>
      <c r="D32" s="4"/>
      <c r="E32" s="4"/>
      <c r="F32" s="4"/>
      <c r="G32" s="4"/>
    </row>
    <row r="33" spans="1:10" x14ac:dyDescent="0.25">
      <c r="B33" s="2" t="s">
        <v>1</v>
      </c>
      <c r="C33" s="4" t="s">
        <v>35</v>
      </c>
      <c r="D33" s="4"/>
      <c r="E33" s="4"/>
      <c r="F33" s="4"/>
      <c r="G33" s="4"/>
    </row>
    <row r="34" spans="1:10" x14ac:dyDescent="0.25">
      <c r="B34" s="2" t="s">
        <v>1</v>
      </c>
      <c r="C34" s="4" t="s">
        <v>36</v>
      </c>
      <c r="D34" s="4"/>
      <c r="E34" s="4"/>
      <c r="F34" s="4"/>
      <c r="G34" s="4"/>
    </row>
    <row r="35" spans="1:10" x14ac:dyDescent="0.25">
      <c r="B35" s="2" t="s">
        <v>1</v>
      </c>
      <c r="C35" s="1" t="s">
        <v>54</v>
      </c>
      <c r="D35" s="1"/>
      <c r="E35" s="1"/>
      <c r="F35" s="1"/>
      <c r="G35" s="1"/>
    </row>
    <row r="36" spans="1:10" x14ac:dyDescent="0.25">
      <c r="B36" s="2" t="s">
        <v>1</v>
      </c>
      <c r="C36" s="1" t="s">
        <v>55</v>
      </c>
      <c r="D36" s="1"/>
      <c r="E36" s="1"/>
      <c r="F36" s="1"/>
      <c r="G36" s="1"/>
    </row>
    <row r="37" spans="1:10" x14ac:dyDescent="0.25">
      <c r="B37" s="2" t="s">
        <v>1</v>
      </c>
      <c r="C37" s="1" t="s">
        <v>37</v>
      </c>
      <c r="D37" s="1"/>
      <c r="E37" s="1"/>
      <c r="F37" s="1"/>
      <c r="G37" s="1"/>
    </row>
    <row r="38" spans="1:10" x14ac:dyDescent="0.25">
      <c r="B38" s="6" t="s">
        <v>1</v>
      </c>
      <c r="C38" s="1" t="s">
        <v>38</v>
      </c>
    </row>
    <row r="39" spans="1:10" x14ac:dyDescent="0.25">
      <c r="B39" s="6" t="s">
        <v>1</v>
      </c>
      <c r="C39" s="1" t="s">
        <v>39</v>
      </c>
    </row>
    <row r="40" spans="1:10" x14ac:dyDescent="0.25">
      <c r="B40" s="6" t="s">
        <v>30</v>
      </c>
      <c r="C40" s="1" t="s">
        <v>40</v>
      </c>
    </row>
    <row r="41" spans="1:10" x14ac:dyDescent="0.25">
      <c r="B41" s="6" t="s">
        <v>30</v>
      </c>
      <c r="C41" s="1" t="s">
        <v>41</v>
      </c>
    </row>
    <row r="42" spans="1:10" x14ac:dyDescent="0.25">
      <c r="B42" s="6" t="s">
        <v>30</v>
      </c>
      <c r="C42" s="1" t="s">
        <v>42</v>
      </c>
    </row>
    <row r="43" spans="1:10" x14ac:dyDescent="0.25">
      <c r="C43" s="1" t="s">
        <v>43</v>
      </c>
    </row>
    <row r="44" spans="1:10" x14ac:dyDescent="0.25">
      <c r="B44" s="7" t="s">
        <v>30</v>
      </c>
      <c r="C44" s="1" t="s">
        <v>405</v>
      </c>
    </row>
    <row r="47" spans="1:10" s="9" customFormat="1" ht="12.75" x14ac:dyDescent="0.2">
      <c r="A47" s="13">
        <v>1</v>
      </c>
      <c r="B47" s="10" t="s">
        <v>342</v>
      </c>
      <c r="C47" s="10" t="s">
        <v>341</v>
      </c>
      <c r="D47" s="12" t="s">
        <v>344</v>
      </c>
      <c r="E47" s="20"/>
      <c r="F47" s="12"/>
      <c r="G47" s="18" t="s">
        <v>343</v>
      </c>
      <c r="H47" s="19" t="s">
        <v>70</v>
      </c>
      <c r="I47" s="17"/>
      <c r="J47" s="10" t="s">
        <v>56</v>
      </c>
    </row>
    <row r="48" spans="1:10" s="9" customFormat="1" ht="12.75" x14ac:dyDescent="0.2">
      <c r="A48" s="13">
        <v>2</v>
      </c>
      <c r="B48" s="10" t="s">
        <v>342</v>
      </c>
      <c r="C48" s="10" t="s">
        <v>341</v>
      </c>
      <c r="D48" s="12" t="s">
        <v>340</v>
      </c>
      <c r="E48" s="20"/>
      <c r="F48" s="12"/>
      <c r="G48" s="18" t="s">
        <v>339</v>
      </c>
      <c r="H48" s="19" t="s">
        <v>70</v>
      </c>
      <c r="I48" s="17"/>
      <c r="J48" s="10" t="s">
        <v>56</v>
      </c>
    </row>
    <row r="49" spans="1:10" s="9" customFormat="1" ht="12.75" x14ac:dyDescent="0.2">
      <c r="A49" s="13">
        <v>17</v>
      </c>
      <c r="B49" s="10" t="s">
        <v>295</v>
      </c>
      <c r="C49" s="10" t="s">
        <v>289</v>
      </c>
      <c r="D49" s="12" t="s">
        <v>297</v>
      </c>
      <c r="E49" s="20" t="s">
        <v>293</v>
      </c>
      <c r="F49" s="21" t="s">
        <v>292</v>
      </c>
      <c r="G49" s="37" t="s">
        <v>298</v>
      </c>
      <c r="H49" s="11" t="s">
        <v>64</v>
      </c>
      <c r="I49" s="17"/>
      <c r="J49" s="10" t="s">
        <v>56</v>
      </c>
    </row>
    <row r="50" spans="1:10" s="9" customFormat="1" ht="12.75" x14ac:dyDescent="0.2">
      <c r="A50" s="13">
        <v>18</v>
      </c>
      <c r="B50" s="10" t="s">
        <v>295</v>
      </c>
      <c r="C50" s="10" t="s">
        <v>289</v>
      </c>
      <c r="D50" s="12" t="s">
        <v>297</v>
      </c>
      <c r="E50" s="20" t="s">
        <v>293</v>
      </c>
      <c r="F50" s="21" t="s">
        <v>292</v>
      </c>
      <c r="G50" s="37" t="s">
        <v>296</v>
      </c>
      <c r="H50" s="11" t="s">
        <v>64</v>
      </c>
      <c r="I50" s="17"/>
      <c r="J50" s="10" t="s">
        <v>56</v>
      </c>
    </row>
    <row r="51" spans="1:10" s="9" customFormat="1" ht="12.75" x14ac:dyDescent="0.2">
      <c r="A51" s="13">
        <v>19</v>
      </c>
      <c r="B51" s="10" t="s">
        <v>295</v>
      </c>
      <c r="C51" s="10" t="s">
        <v>289</v>
      </c>
      <c r="D51" s="12" t="s">
        <v>294</v>
      </c>
      <c r="E51" s="41" t="s">
        <v>293</v>
      </c>
      <c r="F51" s="21" t="s">
        <v>292</v>
      </c>
      <c r="G51" s="18" t="s">
        <v>291</v>
      </c>
      <c r="H51" s="19" t="s">
        <v>70</v>
      </c>
      <c r="I51" s="17"/>
      <c r="J51" s="10" t="s">
        <v>56</v>
      </c>
    </row>
    <row r="52" spans="1:10" s="9" customFormat="1" ht="12.75" x14ac:dyDescent="0.2">
      <c r="A52" s="13">
        <v>20</v>
      </c>
      <c r="B52" s="10" t="s">
        <v>290</v>
      </c>
      <c r="C52" s="10" t="s">
        <v>289</v>
      </c>
      <c r="D52" s="28" t="s">
        <v>288</v>
      </c>
      <c r="E52" s="10" t="s">
        <v>287</v>
      </c>
      <c r="F52" s="10" t="s">
        <v>286</v>
      </c>
      <c r="G52" s="10" t="s">
        <v>285</v>
      </c>
      <c r="H52" s="19" t="s">
        <v>70</v>
      </c>
      <c r="I52" s="10"/>
      <c r="J52" s="10" t="s">
        <v>56</v>
      </c>
    </row>
    <row r="53" spans="1:10" s="9" customFormat="1" ht="12.75" x14ac:dyDescent="0.2">
      <c r="A53" s="13">
        <v>21</v>
      </c>
      <c r="B53" s="10" t="s">
        <v>284</v>
      </c>
      <c r="C53" s="10" t="s">
        <v>223</v>
      </c>
      <c r="D53" s="12">
        <v>56500</v>
      </c>
      <c r="E53" s="20" t="s">
        <v>283</v>
      </c>
      <c r="F53" s="12"/>
      <c r="G53" s="18"/>
      <c r="H53" s="10" t="s">
        <v>64</v>
      </c>
      <c r="I53" s="17"/>
      <c r="J53" s="10" t="s">
        <v>282</v>
      </c>
    </row>
    <row r="54" spans="1:10" s="9" customFormat="1" ht="12.75" x14ac:dyDescent="0.2">
      <c r="A54" s="13">
        <v>22</v>
      </c>
      <c r="B54" s="10" t="s">
        <v>281</v>
      </c>
      <c r="C54" s="12" t="s">
        <v>280</v>
      </c>
      <c r="D54" s="28" t="s">
        <v>279</v>
      </c>
      <c r="E54" s="20" t="s">
        <v>278</v>
      </c>
      <c r="F54" s="21"/>
      <c r="G54" s="18"/>
      <c r="H54" s="10" t="s">
        <v>64</v>
      </c>
      <c r="I54" s="17"/>
      <c r="J54" s="10" t="s">
        <v>56</v>
      </c>
    </row>
    <row r="55" spans="1:10" s="40" customFormat="1" ht="12.75" x14ac:dyDescent="0.2">
      <c r="A55" s="13">
        <v>32</v>
      </c>
      <c r="B55" s="10" t="s">
        <v>234</v>
      </c>
      <c r="C55" s="10" t="s">
        <v>211</v>
      </c>
      <c r="D55" s="12">
        <v>3239968</v>
      </c>
      <c r="E55" s="41" t="s">
        <v>233</v>
      </c>
      <c r="F55" s="21" t="s">
        <v>232</v>
      </c>
      <c r="G55" s="18" t="s">
        <v>112</v>
      </c>
      <c r="H55" s="10" t="s">
        <v>64</v>
      </c>
      <c r="I55" s="17"/>
      <c r="J55" s="10" t="s">
        <v>56</v>
      </c>
    </row>
    <row r="56" spans="1:10" s="40" customFormat="1" ht="12.75" x14ac:dyDescent="0.2">
      <c r="A56" s="13">
        <v>33</v>
      </c>
      <c r="B56" s="10" t="s">
        <v>231</v>
      </c>
      <c r="C56" s="10" t="s">
        <v>223</v>
      </c>
      <c r="D56" s="28" t="s">
        <v>230</v>
      </c>
      <c r="E56" s="20" t="s">
        <v>229</v>
      </c>
      <c r="F56" s="20" t="s">
        <v>228</v>
      </c>
      <c r="G56" s="26"/>
      <c r="H56" s="10" t="s">
        <v>64</v>
      </c>
      <c r="I56" s="17"/>
      <c r="J56" s="10" t="s">
        <v>56</v>
      </c>
    </row>
    <row r="57" spans="1:10" s="40" customFormat="1" ht="12.75" x14ac:dyDescent="0.2">
      <c r="A57" s="13">
        <v>34</v>
      </c>
      <c r="B57" s="10" t="s">
        <v>227</v>
      </c>
      <c r="C57" s="10" t="s">
        <v>211</v>
      </c>
      <c r="D57" s="12" t="s">
        <v>226</v>
      </c>
      <c r="E57" s="20" t="s">
        <v>127</v>
      </c>
      <c r="F57" s="14" t="s">
        <v>225</v>
      </c>
      <c r="G57" s="26" t="s">
        <v>112</v>
      </c>
      <c r="H57" s="10" t="s">
        <v>64</v>
      </c>
      <c r="I57" s="17"/>
      <c r="J57" s="10" t="s">
        <v>56</v>
      </c>
    </row>
    <row r="58" spans="1:10" s="9" customFormat="1" ht="12.75" x14ac:dyDescent="0.2">
      <c r="A58" s="13">
        <v>35</v>
      </c>
      <c r="B58" s="10" t="s">
        <v>224</v>
      </c>
      <c r="C58" s="10" t="s">
        <v>223</v>
      </c>
      <c r="D58" s="28" t="s">
        <v>222</v>
      </c>
      <c r="E58" s="20" t="s">
        <v>221</v>
      </c>
      <c r="F58" s="20" t="s">
        <v>220</v>
      </c>
      <c r="G58" s="26"/>
      <c r="H58" s="10" t="s">
        <v>64</v>
      </c>
      <c r="I58" s="17"/>
      <c r="J58" s="10" t="s">
        <v>219</v>
      </c>
    </row>
    <row r="59" spans="1:10" s="9" customFormat="1" ht="12.75" x14ac:dyDescent="0.2">
      <c r="A59" s="13">
        <v>37</v>
      </c>
      <c r="B59" s="10" t="s">
        <v>212</v>
      </c>
      <c r="C59" s="10" t="s">
        <v>211</v>
      </c>
      <c r="D59" s="28" t="s">
        <v>210</v>
      </c>
      <c r="E59" s="20" t="s">
        <v>209</v>
      </c>
      <c r="F59" s="21"/>
      <c r="G59" s="18" t="s">
        <v>112</v>
      </c>
      <c r="H59" s="10" t="s">
        <v>64</v>
      </c>
      <c r="I59" s="17"/>
      <c r="J59" s="10" t="s">
        <v>56</v>
      </c>
    </row>
    <row r="60" spans="1:10" s="9" customFormat="1" ht="12.75" x14ac:dyDescent="0.2">
      <c r="A60" s="13">
        <v>38</v>
      </c>
      <c r="B60" s="11" t="s">
        <v>208</v>
      </c>
      <c r="C60" s="11" t="s">
        <v>198</v>
      </c>
      <c r="D60" s="16" t="s">
        <v>207</v>
      </c>
      <c r="E60" s="15" t="s">
        <v>206</v>
      </c>
      <c r="F60" s="14" t="s">
        <v>205</v>
      </c>
      <c r="G60" s="39"/>
      <c r="H60" s="10" t="s">
        <v>64</v>
      </c>
      <c r="I60" s="17"/>
      <c r="J60" s="11" t="s">
        <v>56</v>
      </c>
    </row>
    <row r="61" spans="1:10" s="9" customFormat="1" ht="12.75" x14ac:dyDescent="0.2">
      <c r="A61" s="13">
        <v>40</v>
      </c>
      <c r="B61" s="11" t="s">
        <v>199</v>
      </c>
      <c r="C61" s="11" t="s">
        <v>198</v>
      </c>
      <c r="D61" s="16" t="s">
        <v>197</v>
      </c>
      <c r="E61" s="15" t="s">
        <v>196</v>
      </c>
      <c r="F61" s="14" t="s">
        <v>195</v>
      </c>
      <c r="G61" s="22"/>
      <c r="H61" s="10" t="s">
        <v>64</v>
      </c>
      <c r="I61" s="17"/>
      <c r="J61" s="10" t="s">
        <v>56</v>
      </c>
    </row>
    <row r="62" spans="1:10" s="9" customFormat="1" ht="12.75" x14ac:dyDescent="0.2">
      <c r="A62" s="13">
        <v>42</v>
      </c>
      <c r="B62" s="11" t="s">
        <v>194</v>
      </c>
      <c r="C62" s="11" t="s">
        <v>193</v>
      </c>
      <c r="D62" s="38" t="s">
        <v>192</v>
      </c>
      <c r="E62" s="15" t="s">
        <v>191</v>
      </c>
      <c r="F62" s="14" t="s">
        <v>117</v>
      </c>
      <c r="G62" s="37"/>
      <c r="H62" s="10" t="s">
        <v>64</v>
      </c>
      <c r="I62" s="17"/>
      <c r="J62" s="10" t="s">
        <v>56</v>
      </c>
    </row>
    <row r="63" spans="1:10" s="10" customFormat="1" ht="114.75" x14ac:dyDescent="0.2">
      <c r="A63" s="13">
        <v>61</v>
      </c>
      <c r="B63" s="29" t="s">
        <v>148</v>
      </c>
      <c r="C63" s="10" t="s">
        <v>147</v>
      </c>
      <c r="D63" s="28" t="s">
        <v>146</v>
      </c>
      <c r="E63" s="20" t="s">
        <v>145</v>
      </c>
      <c r="F63" s="14" t="s">
        <v>127</v>
      </c>
      <c r="G63" s="11"/>
      <c r="H63" s="27" t="s">
        <v>144</v>
      </c>
      <c r="J63" s="10" t="s">
        <v>56</v>
      </c>
    </row>
    <row r="64" spans="1:10" s="9" customFormat="1" ht="12.75" x14ac:dyDescent="0.2">
      <c r="A64" s="13">
        <v>62</v>
      </c>
      <c r="B64" s="10" t="s">
        <v>143</v>
      </c>
      <c r="C64" s="12" t="s">
        <v>142</v>
      </c>
      <c r="D64" s="12">
        <v>1525</v>
      </c>
      <c r="E64" s="20" t="s">
        <v>141</v>
      </c>
      <c r="F64" s="14"/>
      <c r="G64" s="18"/>
      <c r="H64" s="10" t="s">
        <v>64</v>
      </c>
      <c r="I64" s="17"/>
      <c r="J64" s="10" t="s">
        <v>56</v>
      </c>
    </row>
    <row r="65" spans="1:10" s="9" customFormat="1" ht="12.75" x14ac:dyDescent="0.2">
      <c r="A65" s="13">
        <v>63</v>
      </c>
      <c r="B65" s="10" t="s">
        <v>140</v>
      </c>
      <c r="C65" s="10" t="s">
        <v>139</v>
      </c>
      <c r="D65" s="12">
        <v>993595</v>
      </c>
      <c r="E65" s="20" t="s">
        <v>138</v>
      </c>
      <c r="F65" s="14"/>
      <c r="G65" s="18"/>
      <c r="H65" s="10" t="s">
        <v>64</v>
      </c>
      <c r="I65" s="17"/>
      <c r="J65" s="10" t="s">
        <v>56</v>
      </c>
    </row>
    <row r="66" spans="1:10" s="9" customFormat="1" ht="12.75" x14ac:dyDescent="0.2">
      <c r="A66" s="13">
        <v>64</v>
      </c>
      <c r="B66" s="10" t="s">
        <v>137</v>
      </c>
      <c r="C66" s="12" t="s">
        <v>136</v>
      </c>
      <c r="D66" s="12" t="s">
        <v>135</v>
      </c>
      <c r="E66" s="20" t="s">
        <v>132</v>
      </c>
      <c r="F66" s="12"/>
      <c r="G66" s="18"/>
      <c r="H66" s="10" t="s">
        <v>64</v>
      </c>
      <c r="I66" s="17"/>
      <c r="J66" s="10" t="s">
        <v>56</v>
      </c>
    </row>
    <row r="67" spans="1:10" s="9" customFormat="1" ht="12.75" x14ac:dyDescent="0.2">
      <c r="A67" s="13">
        <v>65</v>
      </c>
      <c r="B67" s="10" t="s">
        <v>134</v>
      </c>
      <c r="C67" s="12" t="s">
        <v>133</v>
      </c>
      <c r="D67" s="12">
        <v>2323036</v>
      </c>
      <c r="E67" s="20" t="s">
        <v>132</v>
      </c>
      <c r="F67" s="12"/>
      <c r="G67" s="18"/>
      <c r="H67" s="10" t="s">
        <v>64</v>
      </c>
      <c r="I67" s="17"/>
      <c r="J67" s="10" t="s">
        <v>56</v>
      </c>
    </row>
    <row r="69" spans="1:10" s="9" customFormat="1" ht="12.75" x14ac:dyDescent="0.2">
      <c r="A69" s="13">
        <v>67</v>
      </c>
      <c r="B69" s="11" t="s">
        <v>124</v>
      </c>
      <c r="C69" s="11" t="s">
        <v>103</v>
      </c>
      <c r="D69" s="16" t="s">
        <v>123</v>
      </c>
      <c r="E69" s="25" t="s">
        <v>122</v>
      </c>
      <c r="F69" s="24" t="s">
        <v>117</v>
      </c>
      <c r="G69" s="23" t="s">
        <v>121</v>
      </c>
      <c r="H69" s="10" t="s">
        <v>64</v>
      </c>
      <c r="I69" s="17"/>
      <c r="J69" s="10" t="s">
        <v>99</v>
      </c>
    </row>
    <row r="70" spans="1:10" s="9" customFormat="1" ht="12.75" x14ac:dyDescent="0.2">
      <c r="A70" s="13">
        <v>68</v>
      </c>
      <c r="B70" s="23" t="s">
        <v>120</v>
      </c>
      <c r="C70" s="23" t="s">
        <v>103</v>
      </c>
      <c r="D70" s="16" t="s">
        <v>119</v>
      </c>
      <c r="E70" s="25" t="s">
        <v>118</v>
      </c>
      <c r="F70" s="24" t="s">
        <v>117</v>
      </c>
      <c r="G70" s="23" t="s">
        <v>116</v>
      </c>
      <c r="H70" s="23" t="s">
        <v>64</v>
      </c>
      <c r="I70" s="23"/>
      <c r="J70" s="23" t="s">
        <v>56</v>
      </c>
    </row>
    <row r="71" spans="1:10" s="9" customFormat="1" ht="12.75" x14ac:dyDescent="0.2">
      <c r="A71" s="13">
        <v>69</v>
      </c>
      <c r="B71" s="10" t="s">
        <v>115</v>
      </c>
      <c r="C71" s="10" t="s">
        <v>103</v>
      </c>
      <c r="D71" s="12" t="s">
        <v>102</v>
      </c>
      <c r="E71" s="20" t="s">
        <v>101</v>
      </c>
      <c r="F71" s="12" t="s">
        <v>112</v>
      </c>
      <c r="G71" s="18" t="s">
        <v>114</v>
      </c>
      <c r="H71" s="10" t="s">
        <v>64</v>
      </c>
      <c r="I71" s="17"/>
      <c r="J71" s="10" t="s">
        <v>109</v>
      </c>
    </row>
    <row r="72" spans="1:10" s="9" customFormat="1" ht="12.75" x14ac:dyDescent="0.2">
      <c r="A72" s="13">
        <v>70</v>
      </c>
      <c r="B72" s="10" t="s">
        <v>113</v>
      </c>
      <c r="C72" s="10" t="s">
        <v>103</v>
      </c>
      <c r="D72" s="12" t="s">
        <v>107</v>
      </c>
      <c r="E72" s="20" t="s">
        <v>106</v>
      </c>
      <c r="F72" s="12" t="s">
        <v>112</v>
      </c>
      <c r="G72" s="18" t="s">
        <v>111</v>
      </c>
      <c r="H72" s="10" t="s">
        <v>64</v>
      </c>
      <c r="I72" s="17"/>
      <c r="J72" s="10" t="s">
        <v>109</v>
      </c>
    </row>
    <row r="73" spans="1:10" s="9" customFormat="1" ht="12.75" x14ac:dyDescent="0.2">
      <c r="A73" s="13">
        <v>71</v>
      </c>
      <c r="B73" s="10" t="s">
        <v>108</v>
      </c>
      <c r="C73" s="10" t="s">
        <v>103</v>
      </c>
      <c r="D73" s="12" t="s">
        <v>107</v>
      </c>
      <c r="E73" s="20" t="s">
        <v>106</v>
      </c>
      <c r="F73" s="12"/>
      <c r="G73" s="18" t="s">
        <v>105</v>
      </c>
      <c r="H73" s="10" t="s">
        <v>64</v>
      </c>
      <c r="I73" s="17"/>
      <c r="J73" s="10" t="s">
        <v>99</v>
      </c>
    </row>
    <row r="74" spans="1:10" s="9" customFormat="1" ht="12.75" x14ac:dyDescent="0.2">
      <c r="A74" s="13">
        <v>72</v>
      </c>
      <c r="B74" s="10" t="s">
        <v>104</v>
      </c>
      <c r="C74" s="10" t="s">
        <v>103</v>
      </c>
      <c r="D74" s="12" t="s">
        <v>102</v>
      </c>
      <c r="E74" s="20" t="s">
        <v>101</v>
      </c>
      <c r="F74" s="12"/>
      <c r="G74" s="18" t="s">
        <v>100</v>
      </c>
      <c r="H74" s="10" t="s">
        <v>64</v>
      </c>
      <c r="I74" s="17"/>
      <c r="J74" s="10" t="s">
        <v>99</v>
      </c>
    </row>
    <row r="76" spans="1:10" s="9" customFormat="1" ht="12.75" x14ac:dyDescent="0.2">
      <c r="A76" s="13">
        <v>39</v>
      </c>
      <c r="B76" s="11" t="s">
        <v>204</v>
      </c>
      <c r="C76" s="11" t="s">
        <v>203</v>
      </c>
      <c r="D76" s="16">
        <v>1436</v>
      </c>
      <c r="E76" s="15" t="s">
        <v>202</v>
      </c>
      <c r="F76" s="14" t="s">
        <v>201</v>
      </c>
      <c r="G76" s="22" t="s">
        <v>200</v>
      </c>
      <c r="H76" s="10" t="s">
        <v>64</v>
      </c>
      <c r="I76" s="17"/>
      <c r="J76" s="10" t="s">
        <v>69</v>
      </c>
    </row>
    <row r="77" spans="1:10" s="9" customFormat="1" ht="12.75" x14ac:dyDescent="0.2">
      <c r="A77" s="13">
        <v>73</v>
      </c>
      <c r="B77" s="10" t="s">
        <v>90</v>
      </c>
      <c r="C77" s="10" t="s">
        <v>89</v>
      </c>
      <c r="D77" s="12" t="s">
        <v>98</v>
      </c>
      <c r="E77" s="20" t="s">
        <v>97</v>
      </c>
      <c r="F77" s="14" t="s">
        <v>96</v>
      </c>
      <c r="G77" s="22" t="s">
        <v>95</v>
      </c>
      <c r="H77" s="10" t="s">
        <v>64</v>
      </c>
      <c r="I77" s="17"/>
      <c r="J77" s="10" t="s">
        <v>69</v>
      </c>
    </row>
    <row r="78" spans="1:10" s="9" customFormat="1" ht="12.75" x14ac:dyDescent="0.2">
      <c r="A78" s="13">
        <v>74</v>
      </c>
      <c r="B78" s="10" t="s">
        <v>90</v>
      </c>
      <c r="C78" s="10" t="s">
        <v>89</v>
      </c>
      <c r="D78" s="12" t="s">
        <v>94</v>
      </c>
      <c r="E78" s="20" t="s">
        <v>93</v>
      </c>
      <c r="F78" s="21" t="s">
        <v>92</v>
      </c>
      <c r="G78" s="22" t="s">
        <v>91</v>
      </c>
      <c r="H78" s="10" t="s">
        <v>64</v>
      </c>
      <c r="I78" s="17"/>
      <c r="J78" s="10" t="s">
        <v>69</v>
      </c>
    </row>
    <row r="79" spans="1:10" s="9" customFormat="1" ht="12.75" x14ac:dyDescent="0.2">
      <c r="A79" s="13">
        <v>75</v>
      </c>
      <c r="B79" s="10" t="s">
        <v>90</v>
      </c>
      <c r="C79" s="10" t="s">
        <v>89</v>
      </c>
      <c r="D79" s="12" t="s">
        <v>88</v>
      </c>
      <c r="E79" s="20" t="s">
        <v>87</v>
      </c>
      <c r="F79" s="21" t="s">
        <v>86</v>
      </c>
      <c r="G79" s="22" t="s">
        <v>85</v>
      </c>
      <c r="H79" s="10" t="s">
        <v>64</v>
      </c>
      <c r="I79" s="17"/>
      <c r="J79" s="10" t="s">
        <v>69</v>
      </c>
    </row>
    <row r="80" spans="1:10" s="9" customFormat="1" ht="12.75" x14ac:dyDescent="0.2">
      <c r="A80" s="13">
        <v>76</v>
      </c>
      <c r="B80" s="10" t="s">
        <v>81</v>
      </c>
      <c r="C80" s="10" t="s">
        <v>80</v>
      </c>
      <c r="D80" s="12" t="s">
        <v>84</v>
      </c>
      <c r="E80" s="20" t="s">
        <v>83</v>
      </c>
      <c r="F80" s="21" t="s">
        <v>77</v>
      </c>
      <c r="G80" s="18" t="s">
        <v>82</v>
      </c>
      <c r="H80" s="10" t="s">
        <v>64</v>
      </c>
      <c r="I80" s="17"/>
      <c r="J80" s="10" t="s">
        <v>69</v>
      </c>
    </row>
    <row r="81" spans="1:10" s="9" customFormat="1" ht="12.75" x14ac:dyDescent="0.2">
      <c r="A81" s="13">
        <v>77</v>
      </c>
      <c r="B81" s="10" t="s">
        <v>81</v>
      </c>
      <c r="C81" s="10" t="s">
        <v>80</v>
      </c>
      <c r="D81" s="12" t="s">
        <v>79</v>
      </c>
      <c r="E81" s="20" t="s">
        <v>78</v>
      </c>
      <c r="F81" s="21" t="s">
        <v>77</v>
      </c>
      <c r="G81" s="18" t="s">
        <v>76</v>
      </c>
      <c r="H81" s="10" t="s">
        <v>64</v>
      </c>
      <c r="I81" s="17"/>
      <c r="J81" s="10" t="s">
        <v>69</v>
      </c>
    </row>
    <row r="82" spans="1:10" s="9" customFormat="1" ht="12.75" x14ac:dyDescent="0.2">
      <c r="A82" s="13">
        <v>78</v>
      </c>
      <c r="B82" s="10" t="s">
        <v>75</v>
      </c>
      <c r="C82" s="10" t="s">
        <v>74</v>
      </c>
      <c r="D82" s="12">
        <v>52787</v>
      </c>
      <c r="E82" s="20" t="s">
        <v>73</v>
      </c>
      <c r="F82" s="14" t="s">
        <v>72</v>
      </c>
      <c r="G82" s="18" t="s">
        <v>71</v>
      </c>
      <c r="H82" s="19" t="s">
        <v>70</v>
      </c>
      <c r="I82" s="17"/>
      <c r="J82" s="10" t="s">
        <v>69</v>
      </c>
    </row>
    <row r="83" spans="1:10" s="9" customFormat="1" ht="12.75" x14ac:dyDescent="0.2">
      <c r="A83" s="13">
        <v>3</v>
      </c>
      <c r="B83" s="10" t="s">
        <v>338</v>
      </c>
      <c r="C83" s="10" t="s">
        <v>337</v>
      </c>
      <c r="D83" s="12">
        <v>620301522</v>
      </c>
      <c r="E83" s="10" t="s">
        <v>336</v>
      </c>
      <c r="F83" s="11" t="s">
        <v>117</v>
      </c>
      <c r="G83" s="10"/>
      <c r="H83" s="10" t="s">
        <v>64</v>
      </c>
      <c r="I83" s="10"/>
      <c r="J83" s="10" t="s">
        <v>69</v>
      </c>
    </row>
    <row r="84" spans="1:10" x14ac:dyDescent="0.25">
      <c r="B84" s="1" t="s">
        <v>44</v>
      </c>
      <c r="D84" s="65"/>
      <c r="I84" s="7"/>
    </row>
  </sheetData>
  <mergeCells count="1">
    <mergeCell ref="E3:F3"/>
  </mergeCells>
  <conditionalFormatting sqref="F47">
    <cfRule type="cellIs" priority="1" stopIfTrue="1" operator="greaterThan">
      <formula>"13.11.2018"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4C15-2443-4D1B-B559-D85CD7AB4C1C}">
  <dimension ref="A1:P38"/>
  <sheetViews>
    <sheetView workbookViewId="0">
      <selection activeCell="H13" sqref="H13"/>
    </sheetView>
  </sheetViews>
  <sheetFormatPr defaultRowHeight="15" x14ac:dyDescent="0.25"/>
  <cols>
    <col min="3" max="3" width="59.42578125" bestFit="1" customWidth="1"/>
  </cols>
  <sheetData>
    <row r="1" spans="1:16" s="72" customFormat="1" ht="15.75" x14ac:dyDescent="0.25">
      <c r="A1" s="9"/>
      <c r="B1" s="66"/>
      <c r="C1" s="67" t="s">
        <v>410</v>
      </c>
      <c r="D1" s="68"/>
      <c r="E1" s="69"/>
      <c r="F1" s="70"/>
      <c r="G1" s="71"/>
      <c r="H1" s="9"/>
      <c r="I1" s="9"/>
    </row>
    <row r="2" spans="1:16" s="72" customFormat="1" x14ac:dyDescent="0.25">
      <c r="A2" s="13"/>
      <c r="B2" s="73"/>
      <c r="C2" s="74" t="s">
        <v>411</v>
      </c>
      <c r="D2" s="75" t="s">
        <v>112</v>
      </c>
      <c r="E2" s="76"/>
      <c r="F2" s="77"/>
      <c r="G2" s="78"/>
      <c r="H2" s="9"/>
      <c r="I2" s="9"/>
      <c r="J2" s="72" t="s">
        <v>112</v>
      </c>
    </row>
    <row r="3" spans="1:16" s="9" customFormat="1" ht="12.75" x14ac:dyDescent="0.2">
      <c r="A3" s="73" t="s">
        <v>412</v>
      </c>
      <c r="B3" s="79" t="s">
        <v>413</v>
      </c>
      <c r="C3" s="79" t="s">
        <v>414</v>
      </c>
      <c r="D3" s="79" t="s">
        <v>415</v>
      </c>
      <c r="E3" s="291" t="s">
        <v>416</v>
      </c>
      <c r="F3" s="292"/>
      <c r="G3" s="80" t="s">
        <v>417</v>
      </c>
      <c r="H3" s="81" t="s">
        <v>418</v>
      </c>
      <c r="I3" s="82" t="s">
        <v>419</v>
      </c>
      <c r="J3" s="81" t="s">
        <v>420</v>
      </c>
    </row>
    <row r="4" spans="1:16" s="9" customFormat="1" ht="12.75" x14ac:dyDescent="0.2">
      <c r="A4" s="13" t="s">
        <v>112</v>
      </c>
      <c r="B4" s="79"/>
      <c r="C4" s="79"/>
      <c r="D4" s="83"/>
      <c r="E4" s="79" t="s">
        <v>421</v>
      </c>
      <c r="F4" s="79" t="s">
        <v>422</v>
      </c>
      <c r="G4" s="80"/>
      <c r="H4" s="84"/>
      <c r="I4" s="85"/>
      <c r="J4" s="84"/>
    </row>
    <row r="7" spans="1:16" ht="34.5" x14ac:dyDescent="0.25">
      <c r="A7" s="47" t="s">
        <v>345</v>
      </c>
      <c r="B7" s="48" t="s">
        <v>346</v>
      </c>
      <c r="C7" s="48" t="s">
        <v>347</v>
      </c>
      <c r="D7" s="48"/>
      <c r="E7" s="48"/>
      <c r="F7" s="48" t="s">
        <v>348</v>
      </c>
      <c r="G7" s="48" t="s">
        <v>349</v>
      </c>
      <c r="H7" s="48" t="s">
        <v>350</v>
      </c>
      <c r="I7" s="48" t="s">
        <v>351</v>
      </c>
      <c r="J7" s="48" t="s">
        <v>352</v>
      </c>
      <c r="K7" s="48" t="s">
        <v>353</v>
      </c>
      <c r="L7" s="49" t="s">
        <v>112</v>
      </c>
      <c r="M7" s="50" t="s">
        <v>354</v>
      </c>
      <c r="N7" s="48" t="s">
        <v>355</v>
      </c>
      <c r="O7" s="51" t="s">
        <v>356</v>
      </c>
      <c r="P7" s="51" t="s">
        <v>357</v>
      </c>
    </row>
    <row r="8" spans="1:16" x14ac:dyDescent="0.25">
      <c r="A8" s="47"/>
      <c r="B8" s="48" t="s">
        <v>358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52"/>
      <c r="N8" s="52"/>
      <c r="O8" s="52"/>
      <c r="P8" s="52"/>
    </row>
    <row r="9" spans="1:16" ht="75" x14ac:dyDescent="0.25">
      <c r="A9" s="47">
        <v>1</v>
      </c>
      <c r="B9" s="4" t="s">
        <v>359</v>
      </c>
      <c r="C9" s="4" t="s">
        <v>360</v>
      </c>
      <c r="D9" s="4">
        <f>36.8*0.01</f>
        <v>0.36799999999999999</v>
      </c>
      <c r="E9" s="53">
        <f>D9/6.16</f>
        <v>5.9740259740259739E-2</v>
      </c>
      <c r="F9" s="4" t="s">
        <v>361</v>
      </c>
      <c r="G9" s="4" t="s">
        <v>362</v>
      </c>
      <c r="H9" s="4" t="s">
        <v>363</v>
      </c>
      <c r="I9" s="54">
        <v>45069</v>
      </c>
      <c r="J9" s="4" t="s">
        <v>364</v>
      </c>
      <c r="K9" s="4" t="s">
        <v>365</v>
      </c>
      <c r="L9" s="3" t="s">
        <v>366</v>
      </c>
      <c r="M9" s="52"/>
      <c r="N9" s="55" t="s">
        <v>367</v>
      </c>
      <c r="O9" s="52" t="s">
        <v>368</v>
      </c>
      <c r="P9" s="52" t="s">
        <v>369</v>
      </c>
    </row>
    <row r="10" spans="1:16" x14ac:dyDescent="0.25">
      <c r="A10" s="47">
        <v>2</v>
      </c>
      <c r="B10" s="4" t="s">
        <v>370</v>
      </c>
      <c r="C10" s="4" t="s">
        <v>371</v>
      </c>
      <c r="D10" s="4">
        <f>55.45*0.01</f>
        <v>0.55449999999999999</v>
      </c>
      <c r="E10" s="56">
        <f>D10/9.99</f>
        <v>5.5505505505505502E-2</v>
      </c>
      <c r="F10" s="4" t="s">
        <v>372</v>
      </c>
      <c r="G10" s="4" t="s">
        <v>373</v>
      </c>
      <c r="H10" s="4" t="s">
        <v>374</v>
      </c>
      <c r="I10" s="54">
        <v>44956</v>
      </c>
      <c r="J10" s="4" t="s">
        <v>375</v>
      </c>
      <c r="K10" s="4" t="s">
        <v>365</v>
      </c>
      <c r="L10" s="55" t="s">
        <v>376</v>
      </c>
      <c r="M10" s="52"/>
      <c r="N10" s="55" t="s">
        <v>377</v>
      </c>
      <c r="O10" s="52" t="s">
        <v>378</v>
      </c>
      <c r="P10" s="52" t="s">
        <v>369</v>
      </c>
    </row>
    <row r="11" spans="1:16" x14ac:dyDescent="0.25">
      <c r="A11" s="47">
        <v>3</v>
      </c>
      <c r="B11" s="4" t="s">
        <v>379</v>
      </c>
      <c r="C11" s="4" t="s">
        <v>380</v>
      </c>
      <c r="D11" s="4"/>
      <c r="E11" s="4"/>
      <c r="F11" s="4" t="s">
        <v>381</v>
      </c>
      <c r="G11" s="4" t="s">
        <v>382</v>
      </c>
      <c r="H11" s="4" t="s">
        <v>383</v>
      </c>
      <c r="I11" s="54">
        <v>44834</v>
      </c>
      <c r="J11" s="4" t="s">
        <v>384</v>
      </c>
      <c r="K11" s="4" t="s">
        <v>365</v>
      </c>
      <c r="L11" s="4" t="s">
        <v>385</v>
      </c>
      <c r="M11" s="52"/>
      <c r="N11" s="55" t="s">
        <v>386</v>
      </c>
      <c r="O11" s="52" t="s">
        <v>387</v>
      </c>
      <c r="P11" s="52" t="s">
        <v>387</v>
      </c>
    </row>
    <row r="12" spans="1:16" x14ac:dyDescent="0.25">
      <c r="A12" s="47"/>
      <c r="B12" s="8" t="s">
        <v>388</v>
      </c>
      <c r="C12" s="4"/>
      <c r="D12" s="4"/>
      <c r="E12" s="4"/>
      <c r="F12" s="4"/>
      <c r="G12" s="54"/>
      <c r="H12" s="4"/>
      <c r="I12" s="54"/>
      <c r="J12" s="4"/>
      <c r="K12" s="4"/>
      <c r="L12" s="4"/>
      <c r="M12" s="52"/>
      <c r="N12" s="55"/>
      <c r="O12" s="52"/>
      <c r="P12" s="52"/>
    </row>
    <row r="13" spans="1:16" x14ac:dyDescent="0.25">
      <c r="A13" s="47">
        <v>4</v>
      </c>
      <c r="B13" s="5" t="s">
        <v>389</v>
      </c>
      <c r="C13" s="4" t="s">
        <v>390</v>
      </c>
      <c r="D13" s="4"/>
      <c r="E13" s="4"/>
      <c r="F13" s="4" t="s">
        <v>391</v>
      </c>
      <c r="G13" s="57">
        <v>44594</v>
      </c>
      <c r="H13" s="4" t="s">
        <v>392</v>
      </c>
      <c r="I13" s="57">
        <v>44959</v>
      </c>
      <c r="J13" s="57">
        <v>46055</v>
      </c>
      <c r="K13" s="4" t="s">
        <v>393</v>
      </c>
      <c r="L13" s="4" t="s">
        <v>394</v>
      </c>
      <c r="M13" s="52"/>
      <c r="N13" s="55" t="s">
        <v>395</v>
      </c>
      <c r="O13" s="52" t="s">
        <v>387</v>
      </c>
      <c r="P13" s="52" t="s">
        <v>387</v>
      </c>
    </row>
    <row r="14" spans="1:16" x14ac:dyDescent="0.25">
      <c r="A14" s="58"/>
      <c r="B14" s="5" t="s">
        <v>396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6" x14ac:dyDescent="0.25">
      <c r="A15" s="58"/>
      <c r="B15" s="1"/>
      <c r="C15" s="1"/>
      <c r="D15" s="1"/>
      <c r="E15" s="1"/>
      <c r="F15" s="1" t="s">
        <v>397</v>
      </c>
      <c r="G15" s="1"/>
      <c r="H15" s="1"/>
      <c r="I15" s="1"/>
      <c r="J15" s="1"/>
      <c r="K15" s="1"/>
      <c r="L15" s="1"/>
    </row>
    <row r="16" spans="1:16" x14ac:dyDescent="0.25">
      <c r="A16" s="58"/>
      <c r="B16" s="1"/>
      <c r="C16" s="1"/>
      <c r="D16" s="1"/>
      <c r="E16" s="1"/>
      <c r="F16" s="1" t="s">
        <v>398</v>
      </c>
      <c r="G16" s="1" t="s">
        <v>399</v>
      </c>
      <c r="H16" s="1"/>
      <c r="I16" s="1"/>
      <c r="J16" s="1"/>
      <c r="K16" s="1"/>
      <c r="L16" s="1"/>
    </row>
    <row r="17" spans="1:12" x14ac:dyDescent="0.25">
      <c r="A17" s="58"/>
      <c r="B17" s="1"/>
      <c r="C17" s="1"/>
      <c r="D17" s="1"/>
      <c r="E17" s="1"/>
      <c r="F17" s="1"/>
      <c r="G17" s="1" t="s">
        <v>400</v>
      </c>
      <c r="H17" s="1"/>
      <c r="I17" s="1"/>
      <c r="J17" s="1"/>
      <c r="K17" s="1"/>
      <c r="L17" s="1"/>
    </row>
    <row r="18" spans="1:12" x14ac:dyDescent="0.25">
      <c r="A18" s="58"/>
      <c r="B18" s="1"/>
      <c r="C18" s="1"/>
      <c r="D18" s="1"/>
      <c r="E18" s="1"/>
      <c r="F18" s="1"/>
      <c r="G18" s="1" t="s">
        <v>401</v>
      </c>
      <c r="H18" s="1"/>
      <c r="I18" s="1"/>
      <c r="J18" s="1"/>
      <c r="K18" s="1"/>
      <c r="L18" s="1"/>
    </row>
    <row r="19" spans="1:12" x14ac:dyDescent="0.25">
      <c r="A19" s="58"/>
      <c r="B19" s="1"/>
      <c r="C19" s="1"/>
      <c r="D19" s="1"/>
      <c r="E19" s="1"/>
      <c r="F19" s="1"/>
      <c r="G19" s="1" t="s">
        <v>402</v>
      </c>
      <c r="H19" s="1"/>
      <c r="I19" s="1"/>
      <c r="J19" s="1"/>
      <c r="K19" s="1"/>
      <c r="L19" s="1"/>
    </row>
    <row r="20" spans="1:12" x14ac:dyDescent="0.25">
      <c r="A20" s="58"/>
      <c r="B20" s="1"/>
      <c r="C20" s="1"/>
      <c r="D20" s="1"/>
      <c r="E20" s="1"/>
      <c r="F20" s="1" t="s">
        <v>403</v>
      </c>
      <c r="G20" s="1"/>
      <c r="H20" s="1"/>
      <c r="I20" s="1"/>
      <c r="J20" s="1"/>
      <c r="K20" s="1"/>
      <c r="L20" s="1"/>
    </row>
    <row r="21" spans="1:12" x14ac:dyDescent="0.25">
      <c r="A21" s="5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B22" t="s">
        <v>404</v>
      </c>
    </row>
    <row r="23" spans="1:12" x14ac:dyDescent="0.25">
      <c r="B23" t="s">
        <v>356</v>
      </c>
    </row>
    <row r="24" spans="1:12" x14ac:dyDescent="0.25">
      <c r="B24" t="s">
        <v>406</v>
      </c>
    </row>
    <row r="25" spans="1:12" ht="34.700000000000003" customHeight="1" x14ac:dyDescent="0.25"/>
    <row r="26" spans="1:12" ht="18.75" x14ac:dyDescent="0.25">
      <c r="C26" s="90" t="s">
        <v>442</v>
      </c>
      <c r="D26" s="90"/>
      <c r="E26" s="90"/>
      <c r="F26" s="1"/>
      <c r="G26" s="91"/>
      <c r="H26" s="1"/>
    </row>
    <row r="27" spans="1:12" ht="18.75" x14ac:dyDescent="0.25">
      <c r="C27" s="90"/>
      <c r="D27" s="90"/>
      <c r="E27" s="90"/>
      <c r="F27" s="1"/>
      <c r="G27" s="91"/>
      <c r="H27" s="1"/>
    </row>
    <row r="28" spans="1:12" x14ac:dyDescent="0.25">
      <c r="A28" s="74" t="s">
        <v>345</v>
      </c>
      <c r="B28" s="74" t="s">
        <v>443</v>
      </c>
      <c r="C28" s="74" t="s">
        <v>353</v>
      </c>
      <c r="D28" s="74" t="s">
        <v>355</v>
      </c>
    </row>
    <row r="29" spans="1:12" ht="26.25" x14ac:dyDescent="0.25">
      <c r="A29" s="92">
        <v>1</v>
      </c>
      <c r="B29" s="93" t="s">
        <v>444</v>
      </c>
      <c r="C29" s="94" t="s">
        <v>445</v>
      </c>
      <c r="D29" s="95"/>
    </row>
    <row r="30" spans="1:12" x14ac:dyDescent="0.25">
      <c r="A30" s="92">
        <v>2</v>
      </c>
      <c r="B30" s="93" t="s">
        <v>446</v>
      </c>
      <c r="C30" s="17" t="s">
        <v>447</v>
      </c>
      <c r="D30" s="52"/>
    </row>
    <row r="31" spans="1:12" x14ac:dyDescent="0.25">
      <c r="A31" s="92">
        <v>3</v>
      </c>
      <c r="B31" s="93" t="s">
        <v>448</v>
      </c>
      <c r="C31" s="17" t="s">
        <v>447</v>
      </c>
      <c r="D31" s="52"/>
    </row>
    <row r="32" spans="1:12" x14ac:dyDescent="0.25">
      <c r="A32" s="47">
        <v>4</v>
      </c>
      <c r="B32" s="93" t="s">
        <v>449</v>
      </c>
      <c r="C32" s="17" t="s">
        <v>447</v>
      </c>
      <c r="D32" s="52"/>
    </row>
    <row r="33" spans="1:4" x14ac:dyDescent="0.25">
      <c r="A33" s="47">
        <v>5</v>
      </c>
      <c r="B33" s="93" t="s">
        <v>450</v>
      </c>
      <c r="C33" s="17" t="s">
        <v>447</v>
      </c>
      <c r="D33" s="52"/>
    </row>
    <row r="34" spans="1:4" x14ac:dyDescent="0.25">
      <c r="A34" s="47">
        <v>6</v>
      </c>
      <c r="B34" s="93" t="s">
        <v>451</v>
      </c>
      <c r="C34" s="17" t="s">
        <v>447</v>
      </c>
      <c r="D34" s="52"/>
    </row>
    <row r="35" spans="1:4" x14ac:dyDescent="0.25">
      <c r="A35" s="47">
        <v>7</v>
      </c>
      <c r="B35" s="93" t="s">
        <v>452</v>
      </c>
      <c r="C35" s="17" t="s">
        <v>447</v>
      </c>
      <c r="D35" s="52"/>
    </row>
    <row r="36" spans="1:4" x14ac:dyDescent="0.25">
      <c r="A36" s="47">
        <v>8</v>
      </c>
      <c r="B36" s="93" t="s">
        <v>453</v>
      </c>
      <c r="C36" s="17" t="s">
        <v>447</v>
      </c>
      <c r="D36" s="52"/>
    </row>
    <row r="37" spans="1:4" x14ac:dyDescent="0.25">
      <c r="A37" s="47">
        <v>8</v>
      </c>
      <c r="B37" s="93" t="s">
        <v>454</v>
      </c>
      <c r="C37" s="17" t="s">
        <v>447</v>
      </c>
      <c r="D37" s="52"/>
    </row>
    <row r="38" spans="1:4" x14ac:dyDescent="0.25">
      <c r="A38" s="47">
        <v>7</v>
      </c>
      <c r="B38" s="93" t="s">
        <v>455</v>
      </c>
      <c r="C38" s="17" t="s">
        <v>447</v>
      </c>
      <c r="D38" s="52"/>
    </row>
  </sheetData>
  <mergeCells count="1"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7F8C-F568-47B7-9036-E4B445F696BD}">
  <dimension ref="A1:J59"/>
  <sheetViews>
    <sheetView topLeftCell="D1" zoomScale="80" zoomScaleNormal="80" workbookViewId="0">
      <selection activeCell="H9" sqref="H9"/>
    </sheetView>
  </sheetViews>
  <sheetFormatPr defaultRowHeight="15" x14ac:dyDescent="0.25"/>
  <cols>
    <col min="2" max="3" width="16.42578125" bestFit="1" customWidth="1"/>
    <col min="4" max="4" width="47.5703125" style="65" bestFit="1" customWidth="1"/>
    <col min="6" max="6" width="44.85546875" bestFit="1" customWidth="1"/>
    <col min="7" max="7" width="44.5703125" bestFit="1" customWidth="1"/>
    <col min="8" max="8" width="21.5703125" bestFit="1" customWidth="1"/>
    <col min="9" max="10" width="9.85546875" bestFit="1" customWidth="1"/>
  </cols>
  <sheetData>
    <row r="1" spans="1:10" s="72" customFormat="1" ht="31.5" x14ac:dyDescent="0.25">
      <c r="A1" s="9"/>
      <c r="B1" s="66"/>
      <c r="C1" s="67" t="s">
        <v>410</v>
      </c>
      <c r="D1" s="68"/>
      <c r="E1" s="69"/>
      <c r="F1" s="70"/>
      <c r="G1" s="71"/>
      <c r="H1" s="9"/>
      <c r="I1" s="9"/>
    </row>
    <row r="2" spans="1:10" s="72" customFormat="1" x14ac:dyDescent="0.25">
      <c r="A2" s="13"/>
      <c r="B2" s="73"/>
      <c r="C2" s="74" t="s">
        <v>411</v>
      </c>
      <c r="D2" s="75" t="s">
        <v>112</v>
      </c>
      <c r="E2" s="76"/>
      <c r="F2" s="77"/>
      <c r="G2" s="78"/>
      <c r="H2" s="9"/>
      <c r="I2" s="9"/>
      <c r="J2" s="72" t="s">
        <v>112</v>
      </c>
    </row>
    <row r="3" spans="1:10" s="9" customFormat="1" ht="12.75" x14ac:dyDescent="0.2">
      <c r="A3" s="73" t="s">
        <v>412</v>
      </c>
      <c r="B3" s="79" t="s">
        <v>413</v>
      </c>
      <c r="C3" s="79" t="s">
        <v>414</v>
      </c>
      <c r="D3" s="79" t="s">
        <v>415</v>
      </c>
      <c r="E3" s="291" t="s">
        <v>416</v>
      </c>
      <c r="F3" s="292"/>
      <c r="G3" s="80" t="s">
        <v>417</v>
      </c>
      <c r="H3" s="81" t="s">
        <v>418</v>
      </c>
      <c r="I3" s="82" t="s">
        <v>419</v>
      </c>
      <c r="J3" s="81" t="s">
        <v>420</v>
      </c>
    </row>
    <row r="4" spans="1:10" s="9" customFormat="1" ht="12.75" x14ac:dyDescent="0.2">
      <c r="A4" s="13" t="s">
        <v>112</v>
      </c>
      <c r="B4" s="79"/>
      <c r="C4" s="79"/>
      <c r="D4" s="83"/>
      <c r="E4" s="79" t="s">
        <v>421</v>
      </c>
      <c r="F4" s="79" t="s">
        <v>422</v>
      </c>
      <c r="G4" s="80"/>
      <c r="H4" s="84"/>
      <c r="I4" s="85"/>
      <c r="J4" s="84"/>
    </row>
    <row r="7" spans="1:10" s="9" customFormat="1" ht="12.75" x14ac:dyDescent="0.2">
      <c r="A7" s="13">
        <v>4</v>
      </c>
      <c r="B7" s="17" t="s">
        <v>332</v>
      </c>
      <c r="C7" s="10" t="s">
        <v>125</v>
      </c>
      <c r="D7" s="59" t="s">
        <v>333</v>
      </c>
      <c r="E7" s="11" t="s">
        <v>64</v>
      </c>
      <c r="F7" s="11" t="s">
        <v>304</v>
      </c>
      <c r="G7" s="11" t="s">
        <v>303</v>
      </c>
      <c r="H7" s="16">
        <v>197223</v>
      </c>
      <c r="I7" s="11" t="s">
        <v>335</v>
      </c>
      <c r="J7" s="46" t="s">
        <v>334</v>
      </c>
    </row>
    <row r="8" spans="1:10" s="9" customFormat="1" ht="12.75" x14ac:dyDescent="0.2">
      <c r="A8" s="13">
        <v>5</v>
      </c>
      <c r="B8" s="17" t="s">
        <v>125</v>
      </c>
      <c r="C8" s="10" t="s">
        <v>125</v>
      </c>
      <c r="D8" s="59" t="s">
        <v>331</v>
      </c>
      <c r="E8" s="11" t="s">
        <v>64</v>
      </c>
      <c r="F8" s="11" t="s">
        <v>304</v>
      </c>
      <c r="G8" s="11" t="s">
        <v>303</v>
      </c>
      <c r="H8" s="16">
        <v>197491</v>
      </c>
      <c r="I8" s="11" t="s">
        <v>327</v>
      </c>
      <c r="J8" s="14" t="s">
        <v>326</v>
      </c>
    </row>
    <row r="9" spans="1:10" s="9" customFormat="1" ht="12.75" x14ac:dyDescent="0.2">
      <c r="A9" s="13">
        <v>6</v>
      </c>
      <c r="B9" s="17" t="s">
        <v>125</v>
      </c>
      <c r="C9" s="10" t="s">
        <v>309</v>
      </c>
      <c r="D9" s="59" t="s">
        <v>330</v>
      </c>
      <c r="E9" s="11" t="s">
        <v>64</v>
      </c>
      <c r="F9" s="11" t="s">
        <v>304</v>
      </c>
      <c r="G9" s="11" t="s">
        <v>303</v>
      </c>
      <c r="H9" s="16">
        <v>197490</v>
      </c>
      <c r="I9" s="11" t="s">
        <v>327</v>
      </c>
      <c r="J9" s="14" t="s">
        <v>326</v>
      </c>
    </row>
    <row r="10" spans="1:10" s="40" customFormat="1" ht="12.75" x14ac:dyDescent="0.2">
      <c r="A10" s="13">
        <v>7</v>
      </c>
      <c r="B10" s="45" t="s">
        <v>125</v>
      </c>
      <c r="C10" s="11" t="s">
        <v>125</v>
      </c>
      <c r="D10" s="59" t="s">
        <v>329</v>
      </c>
      <c r="E10" s="11" t="s">
        <v>64</v>
      </c>
      <c r="F10" s="11" t="s">
        <v>304</v>
      </c>
      <c r="G10" s="11" t="s">
        <v>303</v>
      </c>
      <c r="H10" s="16">
        <v>197492</v>
      </c>
      <c r="I10" s="11" t="s">
        <v>327</v>
      </c>
      <c r="J10" s="14" t="s">
        <v>326</v>
      </c>
    </row>
    <row r="11" spans="1:10" s="40" customFormat="1" ht="12.75" x14ac:dyDescent="0.2">
      <c r="A11" s="13">
        <v>8</v>
      </c>
      <c r="B11" s="45" t="s">
        <v>125</v>
      </c>
      <c r="C11" s="11" t="s">
        <v>125</v>
      </c>
      <c r="D11" s="59" t="s">
        <v>325</v>
      </c>
      <c r="E11" s="11" t="s">
        <v>64</v>
      </c>
      <c r="F11" s="11" t="s">
        <v>304</v>
      </c>
      <c r="G11" s="11" t="s">
        <v>303</v>
      </c>
      <c r="H11" s="16" t="s">
        <v>328</v>
      </c>
      <c r="I11" s="11" t="s">
        <v>327</v>
      </c>
      <c r="J11" s="14" t="s">
        <v>326</v>
      </c>
    </row>
    <row r="12" spans="1:10" s="9" customFormat="1" ht="12.75" x14ac:dyDescent="0.2">
      <c r="A12" s="13">
        <v>9</v>
      </c>
      <c r="B12" s="17" t="s">
        <v>125</v>
      </c>
      <c r="C12" s="10" t="s">
        <v>125</v>
      </c>
      <c r="D12" s="59" t="s">
        <v>322</v>
      </c>
      <c r="E12" s="11" t="s">
        <v>64</v>
      </c>
      <c r="F12" s="11" t="s">
        <v>304</v>
      </c>
      <c r="G12" s="11" t="s">
        <v>303</v>
      </c>
      <c r="H12" s="16">
        <v>201495</v>
      </c>
      <c r="I12" s="11" t="s">
        <v>324</v>
      </c>
      <c r="J12" s="14" t="s">
        <v>323</v>
      </c>
    </row>
    <row r="13" spans="1:10" s="9" customFormat="1" ht="12.75" x14ac:dyDescent="0.2">
      <c r="A13" s="13">
        <v>10</v>
      </c>
      <c r="B13" s="17" t="s">
        <v>125</v>
      </c>
      <c r="C13" s="10" t="s">
        <v>317</v>
      </c>
      <c r="D13" s="59" t="s">
        <v>318</v>
      </c>
      <c r="E13" s="11" t="s">
        <v>64</v>
      </c>
      <c r="F13" s="11" t="s">
        <v>304</v>
      </c>
      <c r="G13" s="11" t="s">
        <v>303</v>
      </c>
      <c r="H13" s="16" t="s">
        <v>321</v>
      </c>
      <c r="I13" s="11" t="s">
        <v>320</v>
      </c>
      <c r="J13" s="14" t="s">
        <v>319</v>
      </c>
    </row>
    <row r="14" spans="1:10" s="9" customFormat="1" ht="12.75" x14ac:dyDescent="0.2">
      <c r="A14" s="13">
        <v>11</v>
      </c>
      <c r="B14" s="17" t="s">
        <v>125</v>
      </c>
      <c r="C14" s="10" t="s">
        <v>309</v>
      </c>
      <c r="D14" s="59" t="s">
        <v>314</v>
      </c>
      <c r="E14" s="11" t="s">
        <v>64</v>
      </c>
      <c r="F14" s="11" t="s">
        <v>304</v>
      </c>
      <c r="G14" s="11" t="s">
        <v>303</v>
      </c>
      <c r="H14" s="16">
        <v>167332</v>
      </c>
      <c r="I14" s="11" t="s">
        <v>316</v>
      </c>
      <c r="J14" s="11" t="s">
        <v>315</v>
      </c>
    </row>
    <row r="15" spans="1:10" s="9" customFormat="1" ht="12.75" x14ac:dyDescent="0.2">
      <c r="A15" s="13">
        <v>12</v>
      </c>
      <c r="B15" s="17" t="s">
        <v>57</v>
      </c>
      <c r="C15" s="10" t="s">
        <v>309</v>
      </c>
      <c r="D15" s="60" t="s">
        <v>310</v>
      </c>
      <c r="E15" s="10" t="s">
        <v>64</v>
      </c>
      <c r="F15" s="11" t="s">
        <v>304</v>
      </c>
      <c r="G15" s="11" t="s">
        <v>303</v>
      </c>
      <c r="H15" s="12" t="s">
        <v>313</v>
      </c>
      <c r="I15" s="10" t="s">
        <v>312</v>
      </c>
      <c r="J15" s="21" t="s">
        <v>311</v>
      </c>
    </row>
    <row r="16" spans="1:10" s="9" customFormat="1" ht="25.5" x14ac:dyDescent="0.2">
      <c r="A16" s="13">
        <v>15</v>
      </c>
      <c r="B16" s="17" t="s">
        <v>299</v>
      </c>
      <c r="C16" s="10" t="s">
        <v>299</v>
      </c>
      <c r="D16" s="61" t="s">
        <v>305</v>
      </c>
      <c r="E16" s="10" t="s">
        <v>64</v>
      </c>
      <c r="F16" s="11" t="s">
        <v>304</v>
      </c>
      <c r="G16" s="11" t="s">
        <v>303</v>
      </c>
      <c r="H16" s="44" t="s">
        <v>308</v>
      </c>
      <c r="I16" s="10" t="s">
        <v>307</v>
      </c>
      <c r="J16" s="14" t="s">
        <v>306</v>
      </c>
    </row>
    <row r="17" spans="1:10" s="9" customFormat="1" ht="12.75" x14ac:dyDescent="0.2">
      <c r="A17" s="13">
        <v>16</v>
      </c>
      <c r="B17" s="17" t="s">
        <v>299</v>
      </c>
      <c r="C17" s="10" t="s">
        <v>299</v>
      </c>
      <c r="D17" s="60" t="s">
        <v>300</v>
      </c>
      <c r="E17" s="10" t="s">
        <v>64</v>
      </c>
      <c r="F17" s="11" t="s">
        <v>304</v>
      </c>
      <c r="G17" s="11" t="s">
        <v>303</v>
      </c>
      <c r="H17" s="12">
        <v>167423</v>
      </c>
      <c r="I17" s="10" t="s">
        <v>302</v>
      </c>
      <c r="J17" s="21" t="s">
        <v>301</v>
      </c>
    </row>
    <row r="18" spans="1:10" s="9" customFormat="1" ht="12.75" x14ac:dyDescent="0.2">
      <c r="A18" s="13">
        <v>23</v>
      </c>
      <c r="B18" s="17" t="s">
        <v>57</v>
      </c>
      <c r="C18" s="43" t="s">
        <v>274</v>
      </c>
      <c r="D18" s="59" t="s">
        <v>275</v>
      </c>
      <c r="E18" s="10" t="s">
        <v>70</v>
      </c>
      <c r="F18" s="11" t="s">
        <v>270</v>
      </c>
      <c r="G18" s="11" t="s">
        <v>264</v>
      </c>
      <c r="H18" s="16" t="s">
        <v>277</v>
      </c>
      <c r="I18" s="15" t="s">
        <v>276</v>
      </c>
      <c r="J18" s="16"/>
    </row>
    <row r="19" spans="1:10" s="42" customFormat="1" ht="12.75" x14ac:dyDescent="0.2">
      <c r="A19" s="13">
        <v>24</v>
      </c>
      <c r="B19" s="17" t="s">
        <v>57</v>
      </c>
      <c r="C19" s="10" t="s">
        <v>266</v>
      </c>
      <c r="D19" s="59" t="s">
        <v>271</v>
      </c>
      <c r="E19" s="10" t="s">
        <v>70</v>
      </c>
      <c r="F19" s="11" t="s">
        <v>270</v>
      </c>
      <c r="G19" s="11" t="s">
        <v>264</v>
      </c>
      <c r="H19" s="16" t="s">
        <v>273</v>
      </c>
      <c r="I19" s="15" t="s">
        <v>272</v>
      </c>
      <c r="J19" s="16"/>
    </row>
    <row r="20" spans="1:10" s="9" customFormat="1" ht="12.75" x14ac:dyDescent="0.2">
      <c r="A20" s="13">
        <v>25</v>
      </c>
      <c r="B20" s="17" t="s">
        <v>57</v>
      </c>
      <c r="C20" s="11" t="s">
        <v>266</v>
      </c>
      <c r="D20" s="59" t="s">
        <v>267</v>
      </c>
      <c r="E20" s="10" t="s">
        <v>70</v>
      </c>
      <c r="F20" s="11" t="s">
        <v>270</v>
      </c>
      <c r="G20" s="11" t="s">
        <v>264</v>
      </c>
      <c r="H20" s="16" t="s">
        <v>269</v>
      </c>
      <c r="I20" s="15" t="s">
        <v>268</v>
      </c>
      <c r="J20" s="16"/>
    </row>
    <row r="21" spans="1:10" s="40" customFormat="1" ht="12.75" x14ac:dyDescent="0.2">
      <c r="A21" s="13">
        <v>26</v>
      </c>
      <c r="B21" s="17" t="s">
        <v>57</v>
      </c>
      <c r="C21" s="11" t="s">
        <v>56</v>
      </c>
      <c r="D21" s="59" t="s">
        <v>261</v>
      </c>
      <c r="E21" s="10" t="s">
        <v>64</v>
      </c>
      <c r="F21" s="11" t="s">
        <v>265</v>
      </c>
      <c r="G21" s="11" t="s">
        <v>264</v>
      </c>
      <c r="H21" s="16" t="s">
        <v>263</v>
      </c>
      <c r="I21" s="15" t="s">
        <v>262</v>
      </c>
      <c r="J21" s="16"/>
    </row>
    <row r="22" spans="1:10" s="40" customFormat="1" ht="12.75" x14ac:dyDescent="0.2">
      <c r="A22" s="13">
        <v>27</v>
      </c>
      <c r="B22" s="17" t="s">
        <v>57</v>
      </c>
      <c r="C22" s="11" t="s">
        <v>56</v>
      </c>
      <c r="D22" s="59"/>
      <c r="E22" s="10" t="s">
        <v>64</v>
      </c>
      <c r="F22" s="10" t="s">
        <v>260</v>
      </c>
      <c r="G22" s="10" t="s">
        <v>255</v>
      </c>
      <c r="H22" s="28" t="s">
        <v>259</v>
      </c>
      <c r="I22" s="20" t="s">
        <v>258</v>
      </c>
      <c r="J22" s="20" t="s">
        <v>257</v>
      </c>
    </row>
    <row r="23" spans="1:10" s="40" customFormat="1" ht="12.75" x14ac:dyDescent="0.2">
      <c r="A23" s="13">
        <v>28</v>
      </c>
      <c r="B23" s="17" t="s">
        <v>110</v>
      </c>
      <c r="C23" s="11" t="s">
        <v>153</v>
      </c>
      <c r="D23" s="62"/>
      <c r="E23" s="11" t="s">
        <v>64</v>
      </c>
      <c r="F23" s="10" t="s">
        <v>256</v>
      </c>
      <c r="G23" s="10" t="s">
        <v>255</v>
      </c>
      <c r="H23" s="28" t="s">
        <v>254</v>
      </c>
      <c r="I23" s="20" t="s">
        <v>253</v>
      </c>
      <c r="J23" s="20" t="s">
        <v>252</v>
      </c>
    </row>
    <row r="24" spans="1:10" s="40" customFormat="1" ht="12.75" x14ac:dyDescent="0.2">
      <c r="A24" s="13">
        <v>29</v>
      </c>
      <c r="B24" s="17" t="s">
        <v>57</v>
      </c>
      <c r="C24" s="11" t="s">
        <v>246</v>
      </c>
      <c r="D24" s="59" t="s">
        <v>247</v>
      </c>
      <c r="E24" s="10" t="s">
        <v>64</v>
      </c>
      <c r="F24" s="10" t="s">
        <v>251</v>
      </c>
      <c r="G24" s="10" t="s">
        <v>43</v>
      </c>
      <c r="H24" s="12" t="s">
        <v>250</v>
      </c>
      <c r="I24" s="20" t="s">
        <v>249</v>
      </c>
      <c r="J24" s="14" t="s">
        <v>248</v>
      </c>
    </row>
    <row r="25" spans="1:10" s="40" customFormat="1" ht="12.75" x14ac:dyDescent="0.2">
      <c r="A25" s="13">
        <v>30</v>
      </c>
      <c r="B25" s="17" t="s">
        <v>57</v>
      </c>
      <c r="C25" s="11" t="s">
        <v>56</v>
      </c>
      <c r="D25" s="60" t="s">
        <v>241</v>
      </c>
      <c r="E25" s="19" t="s">
        <v>70</v>
      </c>
      <c r="F25" s="10" t="s">
        <v>245</v>
      </c>
      <c r="G25" s="12" t="s">
        <v>244</v>
      </c>
      <c r="H25" s="12">
        <v>15930</v>
      </c>
      <c r="I25" s="20" t="s">
        <v>243</v>
      </c>
      <c r="J25" s="14" t="s">
        <v>242</v>
      </c>
    </row>
    <row r="26" spans="1:10" s="40" customFormat="1" ht="12.75" x14ac:dyDescent="0.2">
      <c r="A26" s="13">
        <v>31</v>
      </c>
      <c r="B26" s="17" t="s">
        <v>110</v>
      </c>
      <c r="C26" s="10" t="s">
        <v>235</v>
      </c>
      <c r="D26" s="59"/>
      <c r="E26" s="10" t="s">
        <v>64</v>
      </c>
      <c r="F26" s="11" t="s">
        <v>240</v>
      </c>
      <c r="G26" s="11" t="s">
        <v>239</v>
      </c>
      <c r="H26" s="16" t="s">
        <v>238</v>
      </c>
      <c r="I26" s="15" t="s">
        <v>237</v>
      </c>
      <c r="J26" s="14" t="s">
        <v>236</v>
      </c>
    </row>
    <row r="27" spans="1:10" s="9" customFormat="1" ht="12.75" x14ac:dyDescent="0.2">
      <c r="A27" s="13">
        <v>43</v>
      </c>
      <c r="B27" s="17" t="s">
        <v>57</v>
      </c>
      <c r="C27" s="10" t="s">
        <v>153</v>
      </c>
      <c r="D27" s="60" t="s">
        <v>112</v>
      </c>
      <c r="E27" s="10" t="s">
        <v>64</v>
      </c>
      <c r="F27" s="29" t="s">
        <v>190</v>
      </c>
      <c r="G27" s="10" t="s">
        <v>147</v>
      </c>
      <c r="H27" s="28" t="s">
        <v>182</v>
      </c>
      <c r="I27" s="20" t="s">
        <v>189</v>
      </c>
      <c r="J27" s="12"/>
    </row>
    <row r="28" spans="1:10" s="9" customFormat="1" ht="12.75" x14ac:dyDescent="0.2">
      <c r="A28" s="13">
        <v>44</v>
      </c>
      <c r="B28" s="17" t="s">
        <v>110</v>
      </c>
      <c r="C28" s="10" t="s">
        <v>153</v>
      </c>
      <c r="D28" s="63"/>
      <c r="E28" s="10" t="s">
        <v>64</v>
      </c>
      <c r="F28" s="11" t="s">
        <v>188</v>
      </c>
      <c r="G28" s="11" t="s">
        <v>147</v>
      </c>
      <c r="H28" s="16" t="s">
        <v>187</v>
      </c>
      <c r="I28" s="15" t="s">
        <v>156</v>
      </c>
      <c r="J28" s="34" t="s">
        <v>155</v>
      </c>
    </row>
    <row r="29" spans="1:10" s="9" customFormat="1" ht="12.75" x14ac:dyDescent="0.2">
      <c r="A29" s="13">
        <v>45</v>
      </c>
      <c r="B29" s="17" t="s">
        <v>153</v>
      </c>
      <c r="C29" s="10" t="s">
        <v>153</v>
      </c>
      <c r="D29" s="59" t="s">
        <v>185</v>
      </c>
      <c r="E29" s="10" t="s">
        <v>64</v>
      </c>
      <c r="F29" s="11" t="s">
        <v>186</v>
      </c>
      <c r="G29" s="11" t="s">
        <v>147</v>
      </c>
      <c r="H29" s="16" t="s">
        <v>157</v>
      </c>
      <c r="I29" s="15" t="s">
        <v>156</v>
      </c>
      <c r="J29" s="34" t="s">
        <v>155</v>
      </c>
    </row>
    <row r="30" spans="1:10" s="9" customFormat="1" ht="12.75" x14ac:dyDescent="0.2">
      <c r="A30" s="13">
        <v>46</v>
      </c>
      <c r="B30" s="17" t="s">
        <v>153</v>
      </c>
      <c r="C30" s="10" t="s">
        <v>153</v>
      </c>
      <c r="D30" s="59"/>
      <c r="E30" s="10" t="s">
        <v>64</v>
      </c>
      <c r="F30" s="11" t="s">
        <v>184</v>
      </c>
      <c r="G30" s="11" t="s">
        <v>147</v>
      </c>
      <c r="H30" s="16"/>
      <c r="I30" s="15" t="s">
        <v>156</v>
      </c>
      <c r="J30" s="34" t="s">
        <v>155</v>
      </c>
    </row>
    <row r="31" spans="1:10" s="9" customFormat="1" ht="12.75" x14ac:dyDescent="0.2">
      <c r="A31" s="13">
        <v>47</v>
      </c>
      <c r="B31" s="17" t="s">
        <v>153</v>
      </c>
      <c r="C31" s="10" t="s">
        <v>153</v>
      </c>
      <c r="D31" s="59"/>
      <c r="E31" s="10" t="s">
        <v>64</v>
      </c>
      <c r="F31" s="11" t="s">
        <v>183</v>
      </c>
      <c r="G31" s="11" t="s">
        <v>147</v>
      </c>
      <c r="H31" s="16" t="s">
        <v>182</v>
      </c>
      <c r="I31" s="15" t="s">
        <v>156</v>
      </c>
      <c r="J31" s="34" t="s">
        <v>155</v>
      </c>
    </row>
    <row r="32" spans="1:10" s="9" customFormat="1" ht="12.75" x14ac:dyDescent="0.2">
      <c r="A32" s="13">
        <v>48</v>
      </c>
      <c r="B32" s="17" t="s">
        <v>153</v>
      </c>
      <c r="C32" s="10" t="s">
        <v>153</v>
      </c>
      <c r="D32" s="59" t="s">
        <v>180</v>
      </c>
      <c r="E32" s="10" t="s">
        <v>64</v>
      </c>
      <c r="F32" s="11" t="s">
        <v>181</v>
      </c>
      <c r="G32" s="11" t="s">
        <v>147</v>
      </c>
      <c r="H32" s="16" t="s">
        <v>157</v>
      </c>
      <c r="I32" s="15" t="s">
        <v>156</v>
      </c>
      <c r="J32" s="34" t="s">
        <v>155</v>
      </c>
    </row>
    <row r="33" spans="1:10" s="9" customFormat="1" ht="12.75" x14ac:dyDescent="0.2">
      <c r="A33" s="13">
        <v>49</v>
      </c>
      <c r="B33" s="17" t="s">
        <v>153</v>
      </c>
      <c r="C33" s="10" t="s">
        <v>153</v>
      </c>
      <c r="D33" s="59"/>
      <c r="E33" s="10" t="s">
        <v>64</v>
      </c>
      <c r="F33" s="11" t="s">
        <v>179</v>
      </c>
      <c r="G33" s="11" t="s">
        <v>147</v>
      </c>
      <c r="H33" s="16" t="s">
        <v>157</v>
      </c>
      <c r="I33" s="15" t="s">
        <v>156</v>
      </c>
      <c r="J33" s="34" t="s">
        <v>155</v>
      </c>
    </row>
    <row r="34" spans="1:10" s="9" customFormat="1" ht="12.75" x14ac:dyDescent="0.2">
      <c r="A34" s="13">
        <v>50</v>
      </c>
      <c r="B34" s="17" t="s">
        <v>153</v>
      </c>
      <c r="C34" s="10" t="s">
        <v>153</v>
      </c>
      <c r="D34" s="59" t="s">
        <v>177</v>
      </c>
      <c r="E34" s="10" t="s">
        <v>64</v>
      </c>
      <c r="F34" s="11" t="s">
        <v>178</v>
      </c>
      <c r="G34" s="11" t="s">
        <v>147</v>
      </c>
      <c r="H34" s="16" t="s">
        <v>157</v>
      </c>
      <c r="I34" s="15" t="s">
        <v>156</v>
      </c>
      <c r="J34" s="34" t="s">
        <v>155</v>
      </c>
    </row>
    <row r="35" spans="1:10" s="9" customFormat="1" ht="12.75" x14ac:dyDescent="0.2">
      <c r="A35" s="13">
        <v>51</v>
      </c>
      <c r="B35" s="17" t="s">
        <v>153</v>
      </c>
      <c r="C35" s="10" t="s">
        <v>153</v>
      </c>
      <c r="D35" s="59" t="s">
        <v>175</v>
      </c>
      <c r="E35" s="10" t="s">
        <v>64</v>
      </c>
      <c r="F35" s="11" t="s">
        <v>176</v>
      </c>
      <c r="G35" s="11" t="s">
        <v>147</v>
      </c>
      <c r="H35" s="16" t="s">
        <v>157</v>
      </c>
      <c r="I35" s="15" t="s">
        <v>156</v>
      </c>
      <c r="J35" s="34" t="s">
        <v>155</v>
      </c>
    </row>
    <row r="36" spans="1:10" s="9" customFormat="1" ht="12.75" x14ac:dyDescent="0.2">
      <c r="A36" s="13">
        <v>52</v>
      </c>
      <c r="B36" s="17" t="s">
        <v>153</v>
      </c>
      <c r="C36" s="10" t="s">
        <v>153</v>
      </c>
      <c r="D36" s="59" t="s">
        <v>173</v>
      </c>
      <c r="E36" s="10" t="s">
        <v>64</v>
      </c>
      <c r="F36" s="11" t="s">
        <v>174</v>
      </c>
      <c r="G36" s="11" t="s">
        <v>147</v>
      </c>
      <c r="H36" s="16" t="s">
        <v>157</v>
      </c>
      <c r="I36" s="15" t="s">
        <v>156</v>
      </c>
      <c r="J36" s="34" t="s">
        <v>155</v>
      </c>
    </row>
    <row r="37" spans="1:10" s="9" customFormat="1" ht="12.75" x14ac:dyDescent="0.2">
      <c r="A37" s="13">
        <v>53</v>
      </c>
      <c r="B37" s="17" t="s">
        <v>153</v>
      </c>
      <c r="C37" s="10" t="s">
        <v>153</v>
      </c>
      <c r="D37" s="59" t="s">
        <v>171</v>
      </c>
      <c r="E37" s="10" t="s">
        <v>64</v>
      </c>
      <c r="F37" s="11" t="s">
        <v>172</v>
      </c>
      <c r="G37" s="11" t="s">
        <v>147</v>
      </c>
      <c r="H37" s="16" t="s">
        <v>157</v>
      </c>
      <c r="I37" s="15" t="s">
        <v>156</v>
      </c>
      <c r="J37" s="34" t="s">
        <v>155</v>
      </c>
    </row>
    <row r="38" spans="1:10" s="9" customFormat="1" ht="12.75" x14ac:dyDescent="0.2">
      <c r="A38" s="13">
        <v>54</v>
      </c>
      <c r="B38" s="17" t="s">
        <v>153</v>
      </c>
      <c r="C38" s="10" t="s">
        <v>153</v>
      </c>
      <c r="D38" s="59" t="s">
        <v>169</v>
      </c>
      <c r="E38" s="10" t="s">
        <v>64</v>
      </c>
      <c r="F38" s="11" t="s">
        <v>170</v>
      </c>
      <c r="G38" s="11" t="s">
        <v>147</v>
      </c>
      <c r="H38" s="16" t="s">
        <v>157</v>
      </c>
      <c r="I38" s="15" t="s">
        <v>156</v>
      </c>
      <c r="J38" s="34" t="s">
        <v>155</v>
      </c>
    </row>
    <row r="39" spans="1:10" s="9" customFormat="1" ht="12.75" x14ac:dyDescent="0.2">
      <c r="A39" s="13">
        <v>55</v>
      </c>
      <c r="B39" s="17" t="s">
        <v>153</v>
      </c>
      <c r="C39" s="10" t="s">
        <v>153</v>
      </c>
      <c r="D39" s="63" t="s">
        <v>165</v>
      </c>
      <c r="E39" s="35" t="s">
        <v>70</v>
      </c>
      <c r="F39" s="11" t="s">
        <v>168</v>
      </c>
      <c r="G39" s="11" t="s">
        <v>147</v>
      </c>
      <c r="H39" s="16" t="s">
        <v>157</v>
      </c>
      <c r="I39" s="15" t="s">
        <v>167</v>
      </c>
      <c r="J39" s="36" t="s">
        <v>166</v>
      </c>
    </row>
    <row r="40" spans="1:10" s="9" customFormat="1" ht="12.75" x14ac:dyDescent="0.2">
      <c r="A40" s="13">
        <v>56</v>
      </c>
      <c r="B40" s="17" t="s">
        <v>153</v>
      </c>
      <c r="C40" s="10" t="s">
        <v>153</v>
      </c>
      <c r="D40" s="59" t="s">
        <v>163</v>
      </c>
      <c r="E40" s="23" t="s">
        <v>64</v>
      </c>
      <c r="F40" s="11" t="s">
        <v>164</v>
      </c>
      <c r="G40" s="11" t="s">
        <v>147</v>
      </c>
      <c r="H40" s="16" t="s">
        <v>157</v>
      </c>
      <c r="I40" s="15" t="s">
        <v>156</v>
      </c>
      <c r="J40" s="34" t="s">
        <v>155</v>
      </c>
    </row>
    <row r="41" spans="1:10" s="9" customFormat="1" ht="12.75" x14ac:dyDescent="0.2">
      <c r="A41" s="13">
        <v>57</v>
      </c>
      <c r="B41" s="17" t="s">
        <v>153</v>
      </c>
      <c r="C41" s="10" t="s">
        <v>153</v>
      </c>
      <c r="D41" s="59" t="s">
        <v>161</v>
      </c>
      <c r="E41" s="23" t="s">
        <v>64</v>
      </c>
      <c r="F41" s="11" t="s">
        <v>162</v>
      </c>
      <c r="G41" s="11" t="s">
        <v>147</v>
      </c>
      <c r="H41" s="16" t="s">
        <v>157</v>
      </c>
      <c r="I41" s="15" t="s">
        <v>156</v>
      </c>
      <c r="J41" s="34" t="s">
        <v>155</v>
      </c>
    </row>
    <row r="42" spans="1:10" s="9" customFormat="1" ht="12.75" x14ac:dyDescent="0.2">
      <c r="A42" s="13">
        <v>58</v>
      </c>
      <c r="B42" s="17" t="s">
        <v>153</v>
      </c>
      <c r="C42" s="10" t="s">
        <v>153</v>
      </c>
      <c r="D42" s="59" t="s">
        <v>159</v>
      </c>
      <c r="E42" s="23" t="s">
        <v>64</v>
      </c>
      <c r="F42" s="11" t="s">
        <v>160</v>
      </c>
      <c r="G42" s="11" t="s">
        <v>147</v>
      </c>
      <c r="H42" s="16" t="s">
        <v>157</v>
      </c>
      <c r="I42" s="15" t="s">
        <v>156</v>
      </c>
      <c r="J42" s="34" t="s">
        <v>155</v>
      </c>
    </row>
    <row r="43" spans="1:10" s="9" customFormat="1" ht="12.75" x14ac:dyDescent="0.2">
      <c r="A43" s="13">
        <v>59</v>
      </c>
      <c r="B43" s="17" t="s">
        <v>153</v>
      </c>
      <c r="C43" s="10" t="s">
        <v>153</v>
      </c>
      <c r="D43" s="59" t="s">
        <v>154</v>
      </c>
      <c r="E43" s="23" t="s">
        <v>64</v>
      </c>
      <c r="F43" s="11" t="s">
        <v>158</v>
      </c>
      <c r="G43" s="11" t="s">
        <v>147</v>
      </c>
      <c r="H43" s="16" t="s">
        <v>157</v>
      </c>
      <c r="I43" s="15" t="s">
        <v>156</v>
      </c>
      <c r="J43" s="34" t="s">
        <v>155</v>
      </c>
    </row>
    <row r="44" spans="1:10" s="9" customFormat="1" ht="12.75" x14ac:dyDescent="0.2">
      <c r="A44" s="13">
        <v>60</v>
      </c>
      <c r="B44" s="30" t="s">
        <v>57</v>
      </c>
      <c r="C44" s="23" t="s">
        <v>56</v>
      </c>
      <c r="D44" s="64" t="s">
        <v>149</v>
      </c>
      <c r="E44" s="23" t="s">
        <v>64</v>
      </c>
      <c r="F44" s="33" t="s">
        <v>152</v>
      </c>
      <c r="G44" s="23" t="s">
        <v>147</v>
      </c>
      <c r="H44" s="28" t="s">
        <v>151</v>
      </c>
      <c r="I44" s="32" t="s">
        <v>150</v>
      </c>
      <c r="J44" s="31"/>
    </row>
    <row r="45" spans="1:10" s="9" customFormat="1" ht="12.75" x14ac:dyDescent="0.2">
      <c r="A45" s="13">
        <v>79</v>
      </c>
      <c r="B45" s="17" t="s">
        <v>57</v>
      </c>
      <c r="C45" s="10" t="s">
        <v>56</v>
      </c>
      <c r="D45" s="60" t="s">
        <v>65</v>
      </c>
      <c r="E45" s="10" t="s">
        <v>64</v>
      </c>
      <c r="F45" s="11" t="s">
        <v>68</v>
      </c>
      <c r="G45" s="11" t="s">
        <v>62</v>
      </c>
      <c r="H45" s="16">
        <v>21100493</v>
      </c>
      <c r="I45" s="15" t="s">
        <v>67</v>
      </c>
      <c r="J45" s="14" t="s">
        <v>66</v>
      </c>
    </row>
    <row r="46" spans="1:10" s="9" customFormat="1" ht="12.75" x14ac:dyDescent="0.2">
      <c r="A46" s="13">
        <v>80</v>
      </c>
      <c r="B46" s="17" t="s">
        <v>57</v>
      </c>
      <c r="C46" s="10" t="s">
        <v>56</v>
      </c>
      <c r="D46" s="60" t="s">
        <v>65</v>
      </c>
      <c r="E46" s="10" t="s">
        <v>64</v>
      </c>
      <c r="F46" s="11" t="s">
        <v>68</v>
      </c>
      <c r="G46" s="11" t="s">
        <v>62</v>
      </c>
      <c r="H46" s="16">
        <v>21100495</v>
      </c>
      <c r="I46" s="15" t="s">
        <v>67</v>
      </c>
      <c r="J46" s="14" t="s">
        <v>66</v>
      </c>
    </row>
    <row r="47" spans="1:10" s="9" customFormat="1" ht="12.75" x14ac:dyDescent="0.2">
      <c r="A47" s="13">
        <v>81</v>
      </c>
      <c r="B47" s="17" t="s">
        <v>57</v>
      </c>
      <c r="C47" s="10" t="s">
        <v>56</v>
      </c>
      <c r="D47" s="60" t="s">
        <v>65</v>
      </c>
      <c r="E47" s="10" t="s">
        <v>64</v>
      </c>
      <c r="F47" s="11" t="s">
        <v>68</v>
      </c>
      <c r="G47" s="11" t="s">
        <v>62</v>
      </c>
      <c r="H47" s="16">
        <v>21100496</v>
      </c>
      <c r="I47" s="15" t="s">
        <v>67</v>
      </c>
      <c r="J47" s="14" t="s">
        <v>66</v>
      </c>
    </row>
    <row r="48" spans="1:10" s="9" customFormat="1" ht="12.75" x14ac:dyDescent="0.2">
      <c r="A48" s="13">
        <v>82</v>
      </c>
      <c r="B48" s="17" t="s">
        <v>57</v>
      </c>
      <c r="C48" s="10" t="s">
        <v>56</v>
      </c>
      <c r="D48" s="60" t="s">
        <v>65</v>
      </c>
      <c r="E48" s="10" t="s">
        <v>64</v>
      </c>
      <c r="F48" s="11" t="s">
        <v>68</v>
      </c>
      <c r="G48" s="11" t="s">
        <v>62</v>
      </c>
      <c r="H48" s="16">
        <v>21100497</v>
      </c>
      <c r="I48" s="15" t="s">
        <v>67</v>
      </c>
      <c r="J48" s="14" t="s">
        <v>66</v>
      </c>
    </row>
    <row r="49" spans="1:10" s="9" customFormat="1" ht="12.75" x14ac:dyDescent="0.2">
      <c r="A49" s="13">
        <v>83</v>
      </c>
      <c r="B49" s="10" t="s">
        <v>57</v>
      </c>
      <c r="C49" s="10" t="s">
        <v>56</v>
      </c>
      <c r="D49" s="12" t="s">
        <v>65</v>
      </c>
      <c r="E49" s="10" t="s">
        <v>64</v>
      </c>
      <c r="F49" s="11" t="s">
        <v>68</v>
      </c>
      <c r="G49" s="11" t="s">
        <v>62</v>
      </c>
      <c r="H49" s="16">
        <v>21100498</v>
      </c>
      <c r="I49" s="15" t="s">
        <v>67</v>
      </c>
      <c r="J49" s="14" t="s">
        <v>66</v>
      </c>
    </row>
    <row r="50" spans="1:10" s="9" customFormat="1" ht="12.75" x14ac:dyDescent="0.2">
      <c r="A50" s="13">
        <v>84</v>
      </c>
      <c r="B50" s="10" t="s">
        <v>57</v>
      </c>
      <c r="C50" s="10" t="s">
        <v>56</v>
      </c>
      <c r="D50" s="16" t="s">
        <v>59</v>
      </c>
      <c r="E50" s="11" t="s">
        <v>58</v>
      </c>
      <c r="F50" s="10" t="s">
        <v>63</v>
      </c>
      <c r="G50" s="10" t="s">
        <v>62</v>
      </c>
      <c r="H50" s="12">
        <v>21200048</v>
      </c>
      <c r="I50" s="11" t="s">
        <v>61</v>
      </c>
      <c r="J50" s="11" t="s">
        <v>60</v>
      </c>
    </row>
    <row r="51" spans="1:10" s="9" customFormat="1" ht="12.75" x14ac:dyDescent="0.2">
      <c r="A51" s="13">
        <v>66</v>
      </c>
      <c r="B51" s="17" t="s">
        <v>57</v>
      </c>
      <c r="C51" s="10" t="s">
        <v>125</v>
      </c>
      <c r="D51" s="63"/>
      <c r="E51" s="11" t="s">
        <v>126</v>
      </c>
      <c r="F51" s="11" t="s">
        <v>131</v>
      </c>
      <c r="G51" s="11" t="s">
        <v>130</v>
      </c>
      <c r="H51" s="16" t="s">
        <v>129</v>
      </c>
      <c r="I51" s="15" t="s">
        <v>128</v>
      </c>
      <c r="J51" s="14" t="s">
        <v>127</v>
      </c>
    </row>
    <row r="53" spans="1:10" s="9" customFormat="1" ht="12.75" x14ac:dyDescent="0.2">
      <c r="A53" s="13">
        <v>36</v>
      </c>
      <c r="B53" s="17" t="s">
        <v>214</v>
      </c>
      <c r="C53" s="11" t="s">
        <v>213</v>
      </c>
      <c r="D53" s="60" t="s">
        <v>112</v>
      </c>
      <c r="E53" s="10" t="s">
        <v>64</v>
      </c>
      <c r="F53" s="11" t="s">
        <v>218</v>
      </c>
      <c r="G53" s="11" t="s">
        <v>198</v>
      </c>
      <c r="H53" s="16" t="s">
        <v>217</v>
      </c>
      <c r="I53" s="15" t="s">
        <v>216</v>
      </c>
      <c r="J53" s="14" t="s">
        <v>215</v>
      </c>
    </row>
    <row r="56" spans="1:10" x14ac:dyDescent="0.25">
      <c r="B56" t="s">
        <v>407</v>
      </c>
    </row>
    <row r="57" spans="1:10" x14ac:dyDescent="0.25">
      <c r="B57" t="s">
        <v>408</v>
      </c>
    </row>
    <row r="58" spans="1:10" x14ac:dyDescent="0.25">
      <c r="B58" t="s">
        <v>409</v>
      </c>
    </row>
    <row r="59" spans="1:10" x14ac:dyDescent="0.25">
      <c r="B59" t="s">
        <v>423</v>
      </c>
    </row>
  </sheetData>
  <mergeCells count="1">
    <mergeCell ref="E3:F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B88-943F-44DD-8CC9-2F07F08E210C}">
  <dimension ref="A1:J19"/>
  <sheetViews>
    <sheetView workbookViewId="0">
      <selection activeCell="H14" sqref="H14"/>
    </sheetView>
  </sheetViews>
  <sheetFormatPr defaultRowHeight="15" x14ac:dyDescent="0.25"/>
  <sheetData>
    <row r="1" spans="1:10" s="72" customFormat="1" ht="47.25" x14ac:dyDescent="0.25">
      <c r="A1" s="9"/>
      <c r="B1" s="66"/>
      <c r="C1" s="67" t="s">
        <v>410</v>
      </c>
      <c r="D1" s="68"/>
      <c r="E1" s="69"/>
      <c r="F1" s="70"/>
      <c r="G1" s="71"/>
      <c r="H1" s="9"/>
      <c r="I1" s="9"/>
    </row>
    <row r="2" spans="1:10" s="72" customFormat="1" x14ac:dyDescent="0.25">
      <c r="A2" s="13"/>
      <c r="B2" s="73"/>
      <c r="C2" s="74" t="s">
        <v>411</v>
      </c>
      <c r="D2" s="75" t="s">
        <v>112</v>
      </c>
      <c r="E2" s="76"/>
      <c r="F2" s="77"/>
      <c r="G2" s="78"/>
      <c r="H2" s="9"/>
      <c r="I2" s="9"/>
      <c r="J2" s="72" t="s">
        <v>112</v>
      </c>
    </row>
    <row r="3" spans="1:10" s="9" customFormat="1" ht="12.75" x14ac:dyDescent="0.2">
      <c r="A3" s="73" t="s">
        <v>412</v>
      </c>
      <c r="B3" s="79" t="s">
        <v>413</v>
      </c>
      <c r="C3" s="79" t="s">
        <v>414</v>
      </c>
      <c r="D3" s="79" t="s">
        <v>415</v>
      </c>
      <c r="E3" s="291" t="s">
        <v>416</v>
      </c>
      <c r="F3" s="292"/>
      <c r="G3" s="80" t="s">
        <v>417</v>
      </c>
      <c r="H3" s="81" t="s">
        <v>418</v>
      </c>
      <c r="I3" s="82" t="s">
        <v>419</v>
      </c>
      <c r="J3" s="81" t="s">
        <v>420</v>
      </c>
    </row>
    <row r="4" spans="1:10" s="9" customFormat="1" ht="12.75" x14ac:dyDescent="0.2">
      <c r="A4" s="13" t="s">
        <v>112</v>
      </c>
      <c r="B4" s="79"/>
      <c r="C4" s="79"/>
      <c r="D4" s="83"/>
      <c r="E4" s="79" t="s">
        <v>421</v>
      </c>
      <c r="F4" s="79" t="s">
        <v>422</v>
      </c>
      <c r="G4" s="80"/>
      <c r="H4" s="84"/>
      <c r="I4" s="85"/>
      <c r="J4" s="84"/>
    </row>
    <row r="6" spans="1:10" s="86" customFormat="1" x14ac:dyDescent="0.25">
      <c r="B6" s="74"/>
      <c r="C6" s="74"/>
      <c r="D6" s="74" t="s">
        <v>424</v>
      </c>
      <c r="E6" s="74" t="s">
        <v>355</v>
      </c>
    </row>
    <row r="7" spans="1:10" x14ac:dyDescent="0.25">
      <c r="B7" s="52" t="s">
        <v>425</v>
      </c>
      <c r="C7" s="52" t="s">
        <v>0</v>
      </c>
      <c r="D7" s="87" t="s">
        <v>426</v>
      </c>
    </row>
    <row r="8" spans="1:10" x14ac:dyDescent="0.25">
      <c r="B8" s="52" t="s">
        <v>427</v>
      </c>
      <c r="C8" s="52" t="s">
        <v>0</v>
      </c>
      <c r="D8" s="87" t="s">
        <v>426</v>
      </c>
    </row>
    <row r="9" spans="1:10" x14ac:dyDescent="0.25">
      <c r="B9" s="88" t="s">
        <v>428</v>
      </c>
      <c r="C9" s="52" t="s">
        <v>0</v>
      </c>
      <c r="D9" s="87" t="s">
        <v>429</v>
      </c>
    </row>
    <row r="10" spans="1:10" x14ac:dyDescent="0.25">
      <c r="B10" s="52" t="s">
        <v>430</v>
      </c>
      <c r="C10" s="52" t="s">
        <v>431</v>
      </c>
      <c r="D10" s="87" t="s">
        <v>432</v>
      </c>
      <c r="E10" s="89" t="s">
        <v>433</v>
      </c>
    </row>
    <row r="11" spans="1:10" x14ac:dyDescent="0.25">
      <c r="B11" s="52" t="s">
        <v>434</v>
      </c>
      <c r="C11" s="52" t="s">
        <v>435</v>
      </c>
      <c r="D11" s="87" t="s">
        <v>432</v>
      </c>
    </row>
    <row r="12" spans="1:10" x14ac:dyDescent="0.25">
      <c r="B12" s="52" t="s">
        <v>436</v>
      </c>
      <c r="C12" s="52" t="s">
        <v>0</v>
      </c>
      <c r="D12" s="52" t="s">
        <v>437</v>
      </c>
    </row>
    <row r="13" spans="1:10" x14ac:dyDescent="0.25">
      <c r="B13" s="293" t="s">
        <v>438</v>
      </c>
      <c r="C13" s="295" t="s">
        <v>0</v>
      </c>
      <c r="D13" s="297" t="s">
        <v>439</v>
      </c>
    </row>
    <row r="14" spans="1:10" ht="18" customHeight="1" x14ac:dyDescent="0.25">
      <c r="B14" s="294"/>
      <c r="C14" s="296"/>
      <c r="D14" s="298"/>
    </row>
    <row r="16" spans="1:10" x14ac:dyDescent="0.25">
      <c r="B16" t="s">
        <v>441</v>
      </c>
    </row>
    <row r="17" spans="2:2" x14ac:dyDescent="0.25">
      <c r="B17" t="s">
        <v>423</v>
      </c>
    </row>
    <row r="18" spans="2:2" x14ac:dyDescent="0.25">
      <c r="B18" t="s">
        <v>440</v>
      </c>
    </row>
    <row r="19" spans="2:2" x14ac:dyDescent="0.25">
      <c r="B19" t="s">
        <v>456</v>
      </c>
    </row>
  </sheetData>
  <mergeCells count="4">
    <mergeCell ref="B13:B14"/>
    <mergeCell ref="C13:C14"/>
    <mergeCell ref="D13:D14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267E-0D00-48B6-B8D2-55C0C9C4BEAE}">
  <dimension ref="A1:J17"/>
  <sheetViews>
    <sheetView workbookViewId="0">
      <selection activeCell="H14" sqref="H14"/>
    </sheetView>
  </sheetViews>
  <sheetFormatPr defaultRowHeight="15" x14ac:dyDescent="0.25"/>
  <sheetData>
    <row r="1" spans="1:10" s="72" customFormat="1" ht="47.25" x14ac:dyDescent="0.25">
      <c r="A1" s="9"/>
      <c r="B1" s="66"/>
      <c r="C1" s="67" t="s">
        <v>410</v>
      </c>
      <c r="D1" s="68"/>
      <c r="E1" s="69"/>
      <c r="F1" s="70"/>
      <c r="G1" s="71"/>
      <c r="H1" s="9"/>
      <c r="I1" s="9"/>
    </row>
    <row r="2" spans="1:10" s="72" customFormat="1" x14ac:dyDescent="0.25">
      <c r="A2" s="13"/>
      <c r="B2" s="73"/>
      <c r="C2" s="74" t="s">
        <v>411</v>
      </c>
      <c r="D2" s="75" t="s">
        <v>112</v>
      </c>
      <c r="E2" s="76"/>
      <c r="F2" s="77"/>
      <c r="G2" s="78"/>
      <c r="H2" s="9"/>
      <c r="I2" s="9"/>
      <c r="J2" s="72" t="s">
        <v>112</v>
      </c>
    </row>
    <row r="3" spans="1:10" s="9" customFormat="1" ht="12.75" x14ac:dyDescent="0.2">
      <c r="A3" s="73" t="s">
        <v>412</v>
      </c>
      <c r="B3" s="79" t="s">
        <v>413</v>
      </c>
      <c r="C3" s="79" t="s">
        <v>414</v>
      </c>
      <c r="D3" s="79" t="s">
        <v>415</v>
      </c>
      <c r="E3" s="291" t="s">
        <v>416</v>
      </c>
      <c r="F3" s="292"/>
      <c r="G3" s="80" t="s">
        <v>417</v>
      </c>
      <c r="H3" s="81" t="s">
        <v>418</v>
      </c>
      <c r="I3" s="82" t="s">
        <v>419</v>
      </c>
      <c r="J3" s="81" t="s">
        <v>420</v>
      </c>
    </row>
    <row r="4" spans="1:10" s="9" customFormat="1" ht="12.75" x14ac:dyDescent="0.2">
      <c r="A4" s="13" t="s">
        <v>112</v>
      </c>
      <c r="B4" s="79"/>
      <c r="C4" s="79"/>
      <c r="D4" s="83"/>
      <c r="E4" s="79" t="s">
        <v>421</v>
      </c>
      <c r="F4" s="79" t="s">
        <v>422</v>
      </c>
      <c r="G4" s="80"/>
      <c r="H4" s="84"/>
      <c r="I4" s="85"/>
      <c r="J4" s="84"/>
    </row>
    <row r="6" spans="1:10" s="86" customFormat="1" x14ac:dyDescent="0.25">
      <c r="B6" s="74"/>
      <c r="C6" s="74"/>
      <c r="D6" s="74" t="s">
        <v>424</v>
      </c>
      <c r="E6" s="74" t="s">
        <v>355</v>
      </c>
    </row>
    <row r="7" spans="1:10" x14ac:dyDescent="0.25">
      <c r="B7" s="52" t="s">
        <v>425</v>
      </c>
      <c r="C7" s="52" t="s">
        <v>0</v>
      </c>
      <c r="D7" s="87" t="s">
        <v>426</v>
      </c>
    </row>
    <row r="8" spans="1:10" x14ac:dyDescent="0.25">
      <c r="B8" s="52" t="s">
        <v>427</v>
      </c>
      <c r="C8" s="52" t="s">
        <v>0</v>
      </c>
      <c r="D8" s="87" t="s">
        <v>426</v>
      </c>
    </row>
    <row r="9" spans="1:10" x14ac:dyDescent="0.25">
      <c r="B9" s="88" t="s">
        <v>428</v>
      </c>
      <c r="C9" s="52" t="s">
        <v>0</v>
      </c>
      <c r="D9" s="87" t="s">
        <v>429</v>
      </c>
    </row>
    <row r="10" spans="1:10" x14ac:dyDescent="0.25">
      <c r="B10" s="52" t="s">
        <v>430</v>
      </c>
      <c r="C10" s="52" t="s">
        <v>431</v>
      </c>
      <c r="D10" s="87" t="s">
        <v>432</v>
      </c>
      <c r="E10" s="89" t="s">
        <v>433</v>
      </c>
    </row>
    <row r="11" spans="1:10" x14ac:dyDescent="0.25">
      <c r="B11" s="52" t="s">
        <v>434</v>
      </c>
      <c r="C11" s="52" t="s">
        <v>435</v>
      </c>
      <c r="D11" s="87" t="s">
        <v>432</v>
      </c>
    </row>
    <row r="12" spans="1:10" x14ac:dyDescent="0.25">
      <c r="B12" s="52" t="s">
        <v>436</v>
      </c>
      <c r="C12" s="52" t="s">
        <v>0</v>
      </c>
      <c r="D12" s="52" t="s">
        <v>437</v>
      </c>
    </row>
    <row r="13" spans="1:10" x14ac:dyDescent="0.25">
      <c r="B13" s="293" t="s">
        <v>438</v>
      </c>
      <c r="C13" s="295" t="s">
        <v>0</v>
      </c>
      <c r="D13" s="297" t="s">
        <v>439</v>
      </c>
    </row>
    <row r="14" spans="1:10" ht="18" customHeight="1" x14ac:dyDescent="0.25">
      <c r="B14" s="294"/>
      <c r="C14" s="296"/>
      <c r="D14" s="298"/>
    </row>
    <row r="17" spans="2:2" x14ac:dyDescent="0.25">
      <c r="B17" t="s">
        <v>440</v>
      </c>
    </row>
  </sheetData>
  <mergeCells count="4">
    <mergeCell ref="B13:B14"/>
    <mergeCell ref="C13:C14"/>
    <mergeCell ref="D13:D14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7DA6-0DFE-4B9F-B83C-68D4BC470204}">
  <dimension ref="A1:TU180"/>
  <sheetViews>
    <sheetView showGridLines="0" tabSelected="1" view="pageBreakPreview" zoomScale="85" zoomScaleNormal="106" zoomScaleSheetLayoutView="85" workbookViewId="0">
      <pane ySplit="4" topLeftCell="A7" activePane="bottomLeft" state="frozen"/>
      <selection pane="bottomLeft" activeCell="H129" sqref="H129"/>
    </sheetView>
  </sheetViews>
  <sheetFormatPr defaultColWidth="8.7109375" defaultRowHeight="15" outlineLevelRow="1" x14ac:dyDescent="0.25"/>
  <cols>
    <col min="1" max="1" width="7.42578125" style="226" customWidth="1"/>
    <col min="2" max="2" width="19" style="227" bestFit="1" customWidth="1"/>
    <col min="3" max="3" width="49.7109375" style="228" customWidth="1"/>
    <col min="4" max="4" width="74.140625" style="228" customWidth="1"/>
    <col min="5" max="5" width="15.7109375" style="228" bestFit="1" customWidth="1"/>
    <col min="6" max="6" width="13.5703125" style="226" customWidth="1"/>
    <col min="7" max="7" width="16.5703125" style="226" bestFit="1" customWidth="1"/>
    <col min="8" max="8" width="15.85546875" style="226" bestFit="1" customWidth="1"/>
    <col min="9" max="9" width="12.28515625" style="228" bestFit="1" customWidth="1"/>
    <col min="10" max="10" width="19.140625" style="228" bestFit="1" customWidth="1"/>
    <col min="11" max="12" width="8.5703125" style="228" hidden="1" customWidth="1"/>
    <col min="13" max="13" width="19.42578125" style="226" bestFit="1" customWidth="1"/>
    <col min="14" max="16" width="15.7109375" style="228" hidden="1" customWidth="1"/>
    <col min="17" max="17" width="49.85546875" style="228" bestFit="1" customWidth="1"/>
    <col min="18" max="18" width="8.7109375" style="228"/>
    <col min="19" max="20" width="10.85546875" style="228" bestFit="1" customWidth="1"/>
    <col min="21" max="16384" width="8.7109375" style="228"/>
  </cols>
  <sheetData>
    <row r="1" spans="1:17" x14ac:dyDescent="0.25">
      <c r="A1" s="387" t="s">
        <v>410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</row>
    <row r="2" spans="1:17" ht="15.75" thickBot="1" x14ac:dyDescent="0.3">
      <c r="A2" s="388" t="s">
        <v>1342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</row>
    <row r="3" spans="1:17" ht="21.6" customHeight="1" x14ac:dyDescent="0.25">
      <c r="A3" s="383" t="s">
        <v>1007</v>
      </c>
      <c r="B3" s="385" t="s">
        <v>476</v>
      </c>
      <c r="C3" s="299" t="s">
        <v>458</v>
      </c>
      <c r="D3" s="299" t="s">
        <v>473</v>
      </c>
      <c r="E3" s="299" t="s">
        <v>1164</v>
      </c>
      <c r="F3" s="299" t="s">
        <v>474</v>
      </c>
      <c r="G3" s="363" t="s">
        <v>1118</v>
      </c>
      <c r="H3" s="364"/>
      <c r="I3" s="302" t="s">
        <v>416</v>
      </c>
      <c r="J3" s="302"/>
      <c r="K3" s="299" t="s">
        <v>470</v>
      </c>
      <c r="L3" s="299"/>
      <c r="M3" s="328" t="s">
        <v>353</v>
      </c>
      <c r="N3" s="326" t="s">
        <v>471</v>
      </c>
      <c r="O3" s="301"/>
      <c r="P3" s="301"/>
      <c r="Q3" s="229"/>
    </row>
    <row r="4" spans="1:17" ht="15.75" thickBot="1" x14ac:dyDescent="0.3">
      <c r="A4" s="384"/>
      <c r="B4" s="386"/>
      <c r="C4" s="300"/>
      <c r="D4" s="300"/>
      <c r="E4" s="300"/>
      <c r="F4" s="300"/>
      <c r="G4" s="196" t="s">
        <v>1295</v>
      </c>
      <c r="H4" s="196" t="s">
        <v>1296</v>
      </c>
      <c r="I4" s="196" t="s">
        <v>421</v>
      </c>
      <c r="J4" s="196" t="s">
        <v>422</v>
      </c>
      <c r="K4" s="197" t="s">
        <v>465</v>
      </c>
      <c r="L4" s="196" t="s">
        <v>466</v>
      </c>
      <c r="M4" s="329"/>
      <c r="N4" s="327" t="s">
        <v>460</v>
      </c>
      <c r="O4" s="198" t="s">
        <v>461</v>
      </c>
      <c r="P4" s="198" t="s">
        <v>462</v>
      </c>
      <c r="Q4" s="199" t="s">
        <v>417</v>
      </c>
    </row>
    <row r="5" spans="1:17" hidden="1" outlineLevel="1" x14ac:dyDescent="0.25">
      <c r="A5" s="230">
        <v>1</v>
      </c>
      <c r="B5" s="195" t="s">
        <v>1064</v>
      </c>
      <c r="C5" s="210" t="s">
        <v>855</v>
      </c>
      <c r="D5" s="210" t="s">
        <v>856</v>
      </c>
      <c r="E5" s="210" t="s">
        <v>100</v>
      </c>
      <c r="F5" s="216" t="s">
        <v>1219</v>
      </c>
      <c r="G5" s="245"/>
      <c r="H5" s="216" t="s">
        <v>1026</v>
      </c>
      <c r="I5" s="231"/>
      <c r="J5" s="195"/>
      <c r="K5" s="210"/>
      <c r="L5" s="210"/>
      <c r="M5" s="216" t="s">
        <v>857</v>
      </c>
      <c r="N5" s="210"/>
      <c r="O5" s="210"/>
      <c r="P5" s="210"/>
      <c r="Q5" s="229" t="s">
        <v>858</v>
      </c>
    </row>
    <row r="6" spans="1:17" hidden="1" outlineLevel="1" x14ac:dyDescent="0.25">
      <c r="A6" s="232">
        <v>2</v>
      </c>
      <c r="B6" s="193" t="s">
        <v>1064</v>
      </c>
      <c r="C6" s="5" t="s">
        <v>855</v>
      </c>
      <c r="D6" s="5" t="s">
        <v>856</v>
      </c>
      <c r="E6" s="5" t="s">
        <v>100</v>
      </c>
      <c r="F6" s="216" t="s">
        <v>1219</v>
      </c>
      <c r="G6" s="271"/>
      <c r="H6" s="213" t="s">
        <v>1026</v>
      </c>
      <c r="I6" s="233"/>
      <c r="J6" s="193"/>
      <c r="K6" s="5"/>
      <c r="L6" s="5"/>
      <c r="M6" s="213" t="s">
        <v>857</v>
      </c>
      <c r="N6" s="5"/>
      <c r="O6" s="5"/>
      <c r="P6" s="5"/>
      <c r="Q6" s="234" t="s">
        <v>859</v>
      </c>
    </row>
    <row r="7" spans="1:17" outlineLevel="1" x14ac:dyDescent="0.25">
      <c r="A7" s="232">
        <v>3</v>
      </c>
      <c r="B7" s="193" t="s">
        <v>1064</v>
      </c>
      <c r="C7" s="5" t="s">
        <v>913</v>
      </c>
      <c r="D7" s="5" t="s">
        <v>914</v>
      </c>
      <c r="E7" s="5" t="s">
        <v>100</v>
      </c>
      <c r="F7" s="213" t="s">
        <v>0</v>
      </c>
      <c r="G7" s="322" t="s">
        <v>1220</v>
      </c>
      <c r="H7" s="213" t="s">
        <v>1026</v>
      </c>
      <c r="I7" s="212" t="s">
        <v>1306</v>
      </c>
      <c r="J7" s="212" t="s">
        <v>1307</v>
      </c>
      <c r="K7" s="5"/>
      <c r="L7" s="5"/>
      <c r="M7" s="213" t="s">
        <v>365</v>
      </c>
      <c r="N7" s="5" t="s">
        <v>1159</v>
      </c>
      <c r="O7" s="5" t="s">
        <v>1160</v>
      </c>
      <c r="P7" s="5" t="s">
        <v>1156</v>
      </c>
      <c r="Q7" s="234" t="s">
        <v>915</v>
      </c>
    </row>
    <row r="8" spans="1:17" outlineLevel="1" x14ac:dyDescent="0.25">
      <c r="A8" s="232">
        <v>4</v>
      </c>
      <c r="B8" s="193" t="s">
        <v>1064</v>
      </c>
      <c r="C8" s="5" t="s">
        <v>916</v>
      </c>
      <c r="D8" s="5" t="s">
        <v>1190</v>
      </c>
      <c r="E8" s="5" t="s">
        <v>100</v>
      </c>
      <c r="F8" s="213" t="s">
        <v>0</v>
      </c>
      <c r="G8" s="322" t="s">
        <v>1220</v>
      </c>
      <c r="H8" s="213" t="s">
        <v>1026</v>
      </c>
      <c r="I8" s="212" t="s">
        <v>1308</v>
      </c>
      <c r="J8" s="212" t="s">
        <v>1309</v>
      </c>
      <c r="K8" s="5"/>
      <c r="L8" s="5"/>
      <c r="M8" s="213" t="s">
        <v>365</v>
      </c>
      <c r="N8" s="5" t="s">
        <v>1159</v>
      </c>
      <c r="O8" s="5" t="s">
        <v>1160</v>
      </c>
      <c r="P8" s="5" t="s">
        <v>1156</v>
      </c>
      <c r="Q8" s="234" t="s">
        <v>863</v>
      </c>
    </row>
    <row r="9" spans="1:17" outlineLevel="1" x14ac:dyDescent="0.25">
      <c r="A9" s="232">
        <v>5</v>
      </c>
      <c r="B9" s="193" t="s">
        <v>1064</v>
      </c>
      <c r="C9" s="5" t="s">
        <v>913</v>
      </c>
      <c r="D9" s="5" t="s">
        <v>918</v>
      </c>
      <c r="E9" s="5" t="s">
        <v>100</v>
      </c>
      <c r="F9" s="213" t="s">
        <v>0</v>
      </c>
      <c r="G9" s="322" t="s">
        <v>1220</v>
      </c>
      <c r="H9" s="213" t="s">
        <v>1026</v>
      </c>
      <c r="I9" s="212" t="s">
        <v>1310</v>
      </c>
      <c r="J9" s="212" t="s">
        <v>1311</v>
      </c>
      <c r="K9" s="5"/>
      <c r="L9" s="5"/>
      <c r="M9" s="213" t="s">
        <v>365</v>
      </c>
      <c r="N9" s="5" t="s">
        <v>1159</v>
      </c>
      <c r="O9" s="5" t="s">
        <v>1160</v>
      </c>
      <c r="P9" s="5" t="s">
        <v>1156</v>
      </c>
      <c r="Q9" s="234" t="s">
        <v>112</v>
      </c>
    </row>
    <row r="10" spans="1:17" outlineLevel="1" x14ac:dyDescent="0.25">
      <c r="A10" s="232">
        <v>6</v>
      </c>
      <c r="B10" s="193" t="s">
        <v>1064</v>
      </c>
      <c r="C10" s="5" t="s">
        <v>916</v>
      </c>
      <c r="D10" s="5" t="s">
        <v>920</v>
      </c>
      <c r="E10" s="5" t="s">
        <v>100</v>
      </c>
      <c r="F10" s="213" t="s">
        <v>0</v>
      </c>
      <c r="G10" s="322" t="s">
        <v>1220</v>
      </c>
      <c r="H10" s="213" t="s">
        <v>1026</v>
      </c>
      <c r="I10" s="212" t="s">
        <v>1312</v>
      </c>
      <c r="J10" s="212" t="s">
        <v>1313</v>
      </c>
      <c r="K10" s="5"/>
      <c r="L10" s="5"/>
      <c r="M10" s="213" t="s">
        <v>365</v>
      </c>
      <c r="N10" s="5" t="s">
        <v>1159</v>
      </c>
      <c r="O10" s="5" t="s">
        <v>1160</v>
      </c>
      <c r="P10" s="5" t="s">
        <v>1156</v>
      </c>
      <c r="Q10" s="234" t="s">
        <v>863</v>
      </c>
    </row>
    <row r="11" spans="1:17" outlineLevel="1" x14ac:dyDescent="0.25">
      <c r="A11" s="232">
        <v>7</v>
      </c>
      <c r="B11" s="193" t="s">
        <v>1064</v>
      </c>
      <c r="C11" s="5" t="s">
        <v>913</v>
      </c>
      <c r="D11" s="5" t="s">
        <v>923</v>
      </c>
      <c r="E11" s="5" t="s">
        <v>100</v>
      </c>
      <c r="F11" s="213" t="s">
        <v>1219</v>
      </c>
      <c r="G11" s="322" t="s">
        <v>1220</v>
      </c>
      <c r="H11" s="213" t="s">
        <v>1026</v>
      </c>
      <c r="I11" s="212" t="s">
        <v>209</v>
      </c>
      <c r="J11" s="236"/>
      <c r="K11" s="5"/>
      <c r="L11" s="5"/>
      <c r="M11" s="213" t="s">
        <v>365</v>
      </c>
      <c r="N11" s="5"/>
      <c r="O11" s="5"/>
      <c r="P11" s="5"/>
      <c r="Q11" s="234" t="s">
        <v>112</v>
      </c>
    </row>
    <row r="12" spans="1:17" s="240" customFormat="1" ht="14.25" customHeight="1" outlineLevel="1" x14ac:dyDescent="0.25">
      <c r="A12" s="232">
        <v>8</v>
      </c>
      <c r="B12" s="193" t="s">
        <v>1064</v>
      </c>
      <c r="C12" s="5" t="s">
        <v>932</v>
      </c>
      <c r="D12" s="5" t="s">
        <v>1189</v>
      </c>
      <c r="E12" s="222" t="s">
        <v>100</v>
      </c>
      <c r="F12" s="223" t="s">
        <v>0</v>
      </c>
      <c r="G12" s="322" t="s">
        <v>1220</v>
      </c>
      <c r="H12" s="213" t="s">
        <v>1026</v>
      </c>
      <c r="I12" s="212" t="s">
        <v>1226</v>
      </c>
      <c r="J12" s="212" t="s">
        <v>1227</v>
      </c>
      <c r="K12" s="222"/>
      <c r="L12" s="222"/>
      <c r="M12" s="223" t="s">
        <v>365</v>
      </c>
      <c r="N12" s="222" t="s">
        <v>1159</v>
      </c>
      <c r="O12" s="222" t="s">
        <v>1160</v>
      </c>
      <c r="P12" s="222" t="s">
        <v>1156</v>
      </c>
      <c r="Q12" s="234" t="s">
        <v>1301</v>
      </c>
    </row>
    <row r="13" spans="1:17" outlineLevel="1" x14ac:dyDescent="0.25">
      <c r="A13" s="232">
        <v>9</v>
      </c>
      <c r="B13" s="193" t="s">
        <v>1064</v>
      </c>
      <c r="C13" s="5" t="s">
        <v>934</v>
      </c>
      <c r="D13" s="5" t="s">
        <v>936</v>
      </c>
      <c r="E13" s="5" t="s">
        <v>100</v>
      </c>
      <c r="F13" s="213" t="s">
        <v>0</v>
      </c>
      <c r="G13" s="322" t="s">
        <v>1220</v>
      </c>
      <c r="H13" s="213" t="s">
        <v>1026</v>
      </c>
      <c r="I13" s="212" t="s">
        <v>1299</v>
      </c>
      <c r="J13" s="212" t="s">
        <v>1300</v>
      </c>
      <c r="K13" s="5"/>
      <c r="L13" s="5"/>
      <c r="M13" s="213" t="s">
        <v>365</v>
      </c>
      <c r="N13" s="5" t="s">
        <v>1159</v>
      </c>
      <c r="O13" s="5" t="s">
        <v>1160</v>
      </c>
      <c r="P13" s="5" t="s">
        <v>1156</v>
      </c>
      <c r="Q13" s="234" t="s">
        <v>863</v>
      </c>
    </row>
    <row r="14" spans="1:17" outlineLevel="1" x14ac:dyDescent="0.25">
      <c r="A14" s="232">
        <v>10</v>
      </c>
      <c r="B14" s="193" t="s">
        <v>1064</v>
      </c>
      <c r="C14" s="5" t="s">
        <v>934</v>
      </c>
      <c r="D14" s="5" t="s">
        <v>1096</v>
      </c>
      <c r="E14" s="5" t="s">
        <v>100</v>
      </c>
      <c r="F14" s="213" t="s">
        <v>0</v>
      </c>
      <c r="G14" s="322" t="s">
        <v>1220</v>
      </c>
      <c r="H14" s="213" t="s">
        <v>1026</v>
      </c>
      <c r="I14" s="212" t="s">
        <v>1314</v>
      </c>
      <c r="J14" s="212" t="s">
        <v>1315</v>
      </c>
      <c r="K14" s="5"/>
      <c r="L14" s="5"/>
      <c r="M14" s="213" t="s">
        <v>365</v>
      </c>
      <c r="N14" s="5" t="s">
        <v>1159</v>
      </c>
      <c r="O14" s="5" t="s">
        <v>1160</v>
      </c>
      <c r="P14" s="5" t="s">
        <v>1156</v>
      </c>
      <c r="Q14" s="234" t="s">
        <v>863</v>
      </c>
    </row>
    <row r="15" spans="1:17" ht="15.6" customHeight="1" outlineLevel="1" x14ac:dyDescent="0.25">
      <c r="A15" s="232">
        <v>11</v>
      </c>
      <c r="B15" s="193" t="s">
        <v>1064</v>
      </c>
      <c r="C15" s="5" t="s">
        <v>934</v>
      </c>
      <c r="D15" s="5" t="s">
        <v>937</v>
      </c>
      <c r="E15" s="5" t="s">
        <v>100</v>
      </c>
      <c r="F15" s="213" t="s">
        <v>0</v>
      </c>
      <c r="G15" s="322" t="s">
        <v>1220</v>
      </c>
      <c r="H15" s="213" t="s">
        <v>1026</v>
      </c>
      <c r="I15" s="212" t="s">
        <v>1304</v>
      </c>
      <c r="J15" s="212" t="s">
        <v>1305</v>
      </c>
      <c r="K15" s="5"/>
      <c r="L15" s="5"/>
      <c r="M15" s="213" t="s">
        <v>365</v>
      </c>
      <c r="N15" s="5" t="s">
        <v>1159</v>
      </c>
      <c r="O15" s="5" t="s">
        <v>1160</v>
      </c>
      <c r="P15" s="5" t="s">
        <v>1156</v>
      </c>
      <c r="Q15" s="234" t="s">
        <v>938</v>
      </c>
    </row>
    <row r="16" spans="1:17" outlineLevel="1" x14ac:dyDescent="0.25">
      <c r="A16" s="232">
        <v>12</v>
      </c>
      <c r="B16" s="193" t="s">
        <v>1064</v>
      </c>
      <c r="C16" s="5" t="s">
        <v>974</v>
      </c>
      <c r="D16" s="5" t="s">
        <v>975</v>
      </c>
      <c r="E16" s="5" t="s">
        <v>100</v>
      </c>
      <c r="F16" s="213" t="s">
        <v>0</v>
      </c>
      <c r="G16" s="322" t="s">
        <v>1220</v>
      </c>
      <c r="H16" s="213" t="s">
        <v>1026</v>
      </c>
      <c r="I16" s="212" t="s">
        <v>1316</v>
      </c>
      <c r="J16" s="212" t="s">
        <v>1317</v>
      </c>
      <c r="K16" s="5"/>
      <c r="L16" s="5"/>
      <c r="M16" s="213" t="s">
        <v>365</v>
      </c>
      <c r="N16" s="5" t="s">
        <v>1159</v>
      </c>
      <c r="O16" s="5" t="s">
        <v>1160</v>
      </c>
      <c r="P16" s="5" t="s">
        <v>1156</v>
      </c>
      <c r="Q16" s="234" t="s">
        <v>863</v>
      </c>
    </row>
    <row r="17" spans="1:541" ht="15.75" outlineLevel="1" thickBot="1" x14ac:dyDescent="0.3">
      <c r="A17" s="241">
        <v>13</v>
      </c>
      <c r="B17" s="194" t="s">
        <v>1064</v>
      </c>
      <c r="C17" s="209" t="s">
        <v>1063</v>
      </c>
      <c r="D17" s="224" t="s">
        <v>1225</v>
      </c>
      <c r="E17" s="224" t="s">
        <v>100</v>
      </c>
      <c r="F17" s="251" t="s">
        <v>0</v>
      </c>
      <c r="G17" s="325" t="s">
        <v>1220</v>
      </c>
      <c r="H17" s="251" t="s">
        <v>1026</v>
      </c>
      <c r="I17" s="320" t="s">
        <v>1297</v>
      </c>
      <c r="J17" s="320" t="s">
        <v>1298</v>
      </c>
      <c r="K17" s="320"/>
      <c r="L17" s="320"/>
      <c r="M17" s="251" t="s">
        <v>365</v>
      </c>
      <c r="N17" s="320"/>
      <c r="O17" s="320"/>
      <c r="P17" s="224"/>
      <c r="Q17" s="252"/>
    </row>
    <row r="18" spans="1:541" s="201" customFormat="1" ht="15.75" thickBot="1" x14ac:dyDescent="0.3">
      <c r="A18" s="243"/>
      <c r="B18" s="244"/>
      <c r="D18" s="225"/>
      <c r="E18" s="253"/>
      <c r="F18" s="254"/>
      <c r="G18" s="254"/>
      <c r="H18" s="254"/>
      <c r="I18" s="253"/>
      <c r="J18" s="253"/>
      <c r="K18" s="253"/>
      <c r="L18" s="253"/>
      <c r="M18" s="254"/>
      <c r="N18" s="253"/>
      <c r="O18" s="253"/>
      <c r="P18" s="253"/>
      <c r="Q18" s="255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8"/>
      <c r="BK18" s="228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28"/>
      <c r="CL18" s="228"/>
      <c r="CM18" s="228"/>
      <c r="CN18" s="228"/>
      <c r="CO18" s="228"/>
      <c r="CP18" s="228"/>
      <c r="CQ18" s="228"/>
      <c r="CR18" s="228"/>
      <c r="CS18" s="228"/>
      <c r="CT18" s="228"/>
      <c r="CU18" s="228"/>
      <c r="CV18" s="228"/>
      <c r="CW18" s="228"/>
      <c r="CX18" s="228"/>
      <c r="CY18" s="228"/>
      <c r="CZ18" s="228"/>
      <c r="DA18" s="228"/>
      <c r="DB18" s="228"/>
      <c r="DC18" s="228"/>
      <c r="DD18" s="228"/>
      <c r="DE18" s="228"/>
      <c r="DF18" s="228"/>
      <c r="DG18" s="228"/>
      <c r="DH18" s="228"/>
      <c r="DI18" s="228"/>
      <c r="DJ18" s="228"/>
      <c r="DK18" s="228"/>
      <c r="DL18" s="228"/>
      <c r="DM18" s="228"/>
      <c r="DN18" s="228"/>
      <c r="DO18" s="228"/>
      <c r="DP18" s="228"/>
      <c r="DQ18" s="228"/>
      <c r="DR18" s="228"/>
      <c r="DS18" s="228"/>
      <c r="DT18" s="228"/>
      <c r="DU18" s="228"/>
      <c r="DV18" s="228"/>
      <c r="DW18" s="228"/>
      <c r="DX18" s="228"/>
      <c r="DY18" s="228"/>
      <c r="DZ18" s="228"/>
      <c r="EA18" s="228"/>
      <c r="EB18" s="228"/>
      <c r="EC18" s="228"/>
      <c r="ED18" s="228"/>
      <c r="EE18" s="228"/>
      <c r="EF18" s="228"/>
      <c r="EG18" s="228"/>
      <c r="EH18" s="228"/>
      <c r="EI18" s="228"/>
      <c r="EJ18" s="228"/>
      <c r="EK18" s="228"/>
      <c r="EL18" s="228"/>
      <c r="EM18" s="228"/>
      <c r="EN18" s="228"/>
      <c r="EO18" s="228"/>
      <c r="EP18" s="228"/>
      <c r="EQ18" s="228"/>
      <c r="ER18" s="228"/>
      <c r="ES18" s="228"/>
      <c r="ET18" s="228"/>
      <c r="EU18" s="228"/>
      <c r="EV18" s="228"/>
      <c r="EW18" s="228"/>
      <c r="EX18" s="228"/>
      <c r="EY18" s="228"/>
      <c r="EZ18" s="228"/>
      <c r="FA18" s="228"/>
      <c r="FB18" s="228"/>
      <c r="FC18" s="228"/>
      <c r="FD18" s="228"/>
      <c r="FE18" s="228"/>
      <c r="FF18" s="228"/>
      <c r="FG18" s="228"/>
      <c r="FH18" s="228"/>
      <c r="FI18" s="228"/>
      <c r="FJ18" s="228"/>
      <c r="FK18" s="228"/>
      <c r="FL18" s="228"/>
      <c r="FM18" s="228"/>
      <c r="FN18" s="228"/>
      <c r="FO18" s="228"/>
      <c r="FP18" s="228"/>
      <c r="FQ18" s="228"/>
      <c r="FR18" s="228"/>
      <c r="FS18" s="228"/>
      <c r="FT18" s="228"/>
      <c r="FU18" s="228"/>
      <c r="FV18" s="228"/>
      <c r="FW18" s="228"/>
      <c r="FX18" s="228"/>
      <c r="FY18" s="228"/>
      <c r="FZ18" s="228"/>
      <c r="GA18" s="228"/>
      <c r="GB18" s="228"/>
      <c r="GC18" s="228"/>
      <c r="GD18" s="228"/>
      <c r="GE18" s="228"/>
      <c r="GF18" s="228"/>
      <c r="GG18" s="228"/>
      <c r="GH18" s="228"/>
      <c r="GI18" s="228"/>
      <c r="GJ18" s="228"/>
      <c r="GK18" s="228"/>
      <c r="GL18" s="228"/>
      <c r="GM18" s="228"/>
      <c r="GN18" s="228"/>
      <c r="GO18" s="228"/>
      <c r="GP18" s="228"/>
      <c r="GQ18" s="228"/>
      <c r="GR18" s="228"/>
      <c r="GS18" s="228"/>
      <c r="GT18" s="228"/>
      <c r="GU18" s="228"/>
      <c r="GV18" s="228"/>
      <c r="GW18" s="228"/>
      <c r="GX18" s="228"/>
      <c r="GY18" s="228"/>
      <c r="GZ18" s="228"/>
      <c r="HA18" s="228"/>
      <c r="HB18" s="228"/>
      <c r="HC18" s="228"/>
      <c r="HD18" s="228"/>
      <c r="HE18" s="228"/>
      <c r="HF18" s="228"/>
      <c r="HG18" s="228"/>
      <c r="HH18" s="228"/>
      <c r="HI18" s="228"/>
      <c r="HJ18" s="228"/>
      <c r="HK18" s="228"/>
      <c r="HL18" s="228"/>
      <c r="HM18" s="228"/>
      <c r="HN18" s="228"/>
      <c r="HO18" s="228"/>
      <c r="HP18" s="228"/>
      <c r="HQ18" s="228"/>
      <c r="HR18" s="228"/>
      <c r="HS18" s="228"/>
      <c r="HT18" s="228"/>
      <c r="HU18" s="228"/>
      <c r="HV18" s="228"/>
      <c r="HW18" s="228"/>
      <c r="HX18" s="228"/>
      <c r="HY18" s="228"/>
      <c r="HZ18" s="228"/>
      <c r="IA18" s="228"/>
      <c r="IB18" s="228"/>
      <c r="IC18" s="228"/>
      <c r="ID18" s="228"/>
      <c r="IE18" s="228"/>
      <c r="IF18" s="228"/>
      <c r="IG18" s="228"/>
      <c r="IH18" s="228"/>
      <c r="II18" s="228"/>
      <c r="IJ18" s="228"/>
      <c r="IK18" s="228"/>
      <c r="IL18" s="228"/>
      <c r="IM18" s="228"/>
      <c r="IN18" s="228"/>
      <c r="IO18" s="228"/>
      <c r="IP18" s="228"/>
      <c r="IQ18" s="228"/>
      <c r="IR18" s="228"/>
      <c r="IS18" s="228"/>
      <c r="IT18" s="228"/>
      <c r="IU18" s="228"/>
      <c r="IV18" s="228"/>
      <c r="IW18" s="228"/>
      <c r="IX18" s="228"/>
      <c r="IY18" s="228"/>
      <c r="IZ18" s="228"/>
      <c r="JA18" s="228"/>
      <c r="JB18" s="228"/>
      <c r="JC18" s="228"/>
      <c r="JD18" s="228"/>
      <c r="JE18" s="228"/>
      <c r="JF18" s="228"/>
      <c r="JG18" s="228"/>
      <c r="JH18" s="228"/>
      <c r="JI18" s="228"/>
      <c r="JJ18" s="228"/>
      <c r="JK18" s="228"/>
      <c r="JL18" s="228"/>
      <c r="JM18" s="228"/>
      <c r="JN18" s="228"/>
      <c r="JO18" s="228"/>
      <c r="JP18" s="228"/>
      <c r="JQ18" s="228"/>
      <c r="JR18" s="228"/>
      <c r="JS18" s="228"/>
      <c r="JT18" s="228"/>
      <c r="JU18" s="228"/>
      <c r="JV18" s="228"/>
      <c r="JW18" s="228"/>
      <c r="JX18" s="228"/>
      <c r="JY18" s="228"/>
      <c r="JZ18" s="228"/>
      <c r="KA18" s="228"/>
      <c r="KB18" s="228"/>
      <c r="KC18" s="228"/>
      <c r="KD18" s="228"/>
      <c r="KE18" s="228"/>
      <c r="KF18" s="228"/>
      <c r="KG18" s="228"/>
      <c r="KH18" s="228"/>
      <c r="KI18" s="228"/>
      <c r="KJ18" s="228"/>
      <c r="KK18" s="228"/>
      <c r="KL18" s="228"/>
      <c r="KM18" s="228"/>
      <c r="KN18" s="228"/>
      <c r="KO18" s="228"/>
      <c r="KP18" s="228"/>
      <c r="KQ18" s="228"/>
      <c r="KR18" s="228"/>
      <c r="KS18" s="228"/>
      <c r="KT18" s="228"/>
      <c r="KU18" s="228"/>
      <c r="KV18" s="228"/>
      <c r="KW18" s="228"/>
      <c r="KX18" s="228"/>
      <c r="KY18" s="228"/>
      <c r="KZ18" s="228"/>
      <c r="LA18" s="228"/>
      <c r="LB18" s="228"/>
      <c r="LC18" s="228"/>
      <c r="LD18" s="228"/>
      <c r="LE18" s="228"/>
      <c r="LF18" s="228"/>
      <c r="LG18" s="228"/>
      <c r="LH18" s="228"/>
      <c r="LI18" s="228"/>
      <c r="LJ18" s="228"/>
      <c r="LK18" s="228"/>
      <c r="LL18" s="228"/>
      <c r="LM18" s="228"/>
      <c r="LN18" s="228"/>
      <c r="LO18" s="228"/>
      <c r="LP18" s="228"/>
      <c r="LQ18" s="228"/>
      <c r="LR18" s="228"/>
      <c r="LS18" s="228"/>
      <c r="LT18" s="228"/>
      <c r="LU18" s="228"/>
      <c r="LV18" s="228"/>
      <c r="LW18" s="228"/>
      <c r="LX18" s="228"/>
      <c r="LY18" s="228"/>
      <c r="LZ18" s="228"/>
      <c r="MA18" s="228"/>
      <c r="MB18" s="228"/>
      <c r="MC18" s="228"/>
      <c r="MD18" s="228"/>
      <c r="ME18" s="228"/>
      <c r="MF18" s="228"/>
      <c r="MG18" s="228"/>
      <c r="MH18" s="228"/>
      <c r="MI18" s="228"/>
      <c r="MJ18" s="228"/>
      <c r="MK18" s="228"/>
      <c r="ML18" s="228"/>
      <c r="MM18" s="228"/>
      <c r="MN18" s="228"/>
      <c r="MO18" s="228"/>
      <c r="MP18" s="228"/>
      <c r="MQ18" s="228"/>
      <c r="MR18" s="228"/>
      <c r="MS18" s="228"/>
      <c r="MT18" s="228"/>
      <c r="MU18" s="228"/>
      <c r="MV18" s="228"/>
      <c r="MW18" s="228"/>
      <c r="MX18" s="228"/>
      <c r="MY18" s="228"/>
      <c r="MZ18" s="228"/>
      <c r="NA18" s="228"/>
      <c r="NB18" s="228"/>
      <c r="NC18" s="228"/>
      <c r="ND18" s="228"/>
      <c r="NE18" s="228"/>
      <c r="NF18" s="228"/>
      <c r="NG18" s="228"/>
      <c r="NH18" s="228"/>
      <c r="NI18" s="228"/>
      <c r="NJ18" s="228"/>
      <c r="NK18" s="228"/>
      <c r="NL18" s="228"/>
      <c r="NM18" s="228"/>
      <c r="NN18" s="228"/>
      <c r="NO18" s="228"/>
      <c r="NP18" s="228"/>
      <c r="NQ18" s="228"/>
      <c r="NR18" s="228"/>
      <c r="NS18" s="228"/>
      <c r="NT18" s="228"/>
      <c r="NU18" s="228"/>
      <c r="NV18" s="228"/>
      <c r="NW18" s="228"/>
      <c r="NX18" s="228"/>
      <c r="NY18" s="228"/>
      <c r="NZ18" s="228"/>
      <c r="OA18" s="228"/>
      <c r="OB18" s="228"/>
      <c r="OC18" s="228"/>
      <c r="OD18" s="228"/>
      <c r="OE18" s="228"/>
      <c r="OF18" s="228"/>
      <c r="OG18" s="228"/>
      <c r="OH18" s="228"/>
      <c r="OI18" s="228"/>
      <c r="OJ18" s="228"/>
      <c r="OK18" s="228"/>
      <c r="OL18" s="228"/>
      <c r="OM18" s="228"/>
      <c r="ON18" s="228"/>
      <c r="OO18" s="228"/>
      <c r="OP18" s="228"/>
      <c r="OQ18" s="228"/>
      <c r="OR18" s="228"/>
      <c r="OS18" s="228"/>
      <c r="OT18" s="228"/>
      <c r="OU18" s="228"/>
      <c r="OV18" s="228"/>
      <c r="OW18" s="228"/>
      <c r="OX18" s="228"/>
      <c r="OY18" s="228"/>
      <c r="OZ18" s="228"/>
      <c r="PA18" s="228"/>
      <c r="PB18" s="228"/>
      <c r="PC18" s="228"/>
      <c r="PD18" s="228"/>
      <c r="PE18" s="228"/>
      <c r="PF18" s="228"/>
      <c r="PG18" s="228"/>
      <c r="PH18" s="228"/>
      <c r="PI18" s="228"/>
      <c r="PJ18" s="228"/>
      <c r="PK18" s="228"/>
      <c r="PL18" s="228"/>
      <c r="PM18" s="228"/>
      <c r="PN18" s="228"/>
      <c r="PO18" s="228"/>
      <c r="PP18" s="228"/>
      <c r="PQ18" s="228"/>
      <c r="PR18" s="228"/>
      <c r="PS18" s="228"/>
      <c r="PT18" s="228"/>
      <c r="PU18" s="228"/>
      <c r="PV18" s="228"/>
      <c r="PW18" s="228"/>
      <c r="PX18" s="228"/>
      <c r="PY18" s="228"/>
      <c r="PZ18" s="228"/>
      <c r="QA18" s="228"/>
      <c r="QB18" s="228"/>
      <c r="QC18" s="228"/>
      <c r="QD18" s="228"/>
      <c r="QE18" s="228"/>
      <c r="QF18" s="228"/>
      <c r="QG18" s="228"/>
      <c r="QH18" s="228"/>
      <c r="QI18" s="228"/>
      <c r="QJ18" s="228"/>
      <c r="QK18" s="228"/>
      <c r="QL18" s="228"/>
      <c r="QM18" s="228"/>
      <c r="QN18" s="228"/>
      <c r="QO18" s="228"/>
      <c r="QP18" s="228"/>
      <c r="QQ18" s="228"/>
      <c r="QR18" s="228"/>
      <c r="QS18" s="228"/>
      <c r="QT18" s="228"/>
      <c r="QU18" s="228"/>
      <c r="QV18" s="228"/>
      <c r="QW18" s="228"/>
      <c r="QX18" s="228"/>
      <c r="QY18" s="228"/>
      <c r="QZ18" s="228"/>
      <c r="RA18" s="228"/>
      <c r="RB18" s="228"/>
      <c r="RC18" s="228"/>
      <c r="RD18" s="228"/>
      <c r="RE18" s="228"/>
      <c r="RF18" s="228"/>
      <c r="RG18" s="228"/>
      <c r="RH18" s="228"/>
      <c r="RI18" s="228"/>
      <c r="RJ18" s="228"/>
      <c r="RK18" s="228"/>
      <c r="RL18" s="228"/>
      <c r="RM18" s="228"/>
      <c r="RN18" s="228"/>
      <c r="RO18" s="228"/>
      <c r="RP18" s="228"/>
      <c r="RQ18" s="228"/>
      <c r="RR18" s="228"/>
      <c r="RS18" s="228"/>
      <c r="RT18" s="228"/>
      <c r="RU18" s="228"/>
      <c r="RV18" s="228"/>
      <c r="RW18" s="228"/>
      <c r="RX18" s="228"/>
      <c r="RY18" s="228"/>
      <c r="RZ18" s="228"/>
      <c r="SA18" s="228"/>
      <c r="SB18" s="228"/>
      <c r="SC18" s="228"/>
      <c r="SD18" s="228"/>
      <c r="SE18" s="228"/>
      <c r="SF18" s="228"/>
      <c r="SG18" s="228"/>
      <c r="SH18" s="228"/>
      <c r="SI18" s="228"/>
      <c r="SJ18" s="228"/>
      <c r="SK18" s="228"/>
      <c r="SL18" s="228"/>
      <c r="SM18" s="228"/>
      <c r="SN18" s="228"/>
      <c r="SO18" s="228"/>
      <c r="SP18" s="228"/>
      <c r="SQ18" s="228"/>
      <c r="SR18" s="228"/>
      <c r="SS18" s="228"/>
      <c r="ST18" s="228"/>
      <c r="SU18" s="228"/>
      <c r="SV18" s="228"/>
      <c r="SW18" s="228"/>
      <c r="SX18" s="228"/>
      <c r="SY18" s="228"/>
      <c r="SZ18" s="228"/>
      <c r="TA18" s="228"/>
      <c r="TB18" s="228"/>
      <c r="TC18" s="228"/>
      <c r="TD18" s="228"/>
      <c r="TE18" s="228"/>
      <c r="TF18" s="228"/>
      <c r="TG18" s="228"/>
      <c r="TH18" s="228"/>
      <c r="TI18" s="228"/>
      <c r="TJ18" s="228"/>
      <c r="TK18" s="228"/>
      <c r="TL18" s="228"/>
      <c r="TM18" s="228"/>
      <c r="TN18" s="228"/>
      <c r="TO18" s="228"/>
      <c r="TP18" s="228"/>
      <c r="TQ18" s="228"/>
      <c r="TR18" s="228"/>
      <c r="TS18" s="228"/>
      <c r="TT18" s="228"/>
      <c r="TU18" s="228"/>
    </row>
    <row r="19" spans="1:541" ht="15.6" customHeight="1" outlineLevel="1" x14ac:dyDescent="0.25">
      <c r="A19" s="230">
        <v>1</v>
      </c>
      <c r="B19" s="195" t="s">
        <v>1019</v>
      </c>
      <c r="C19" s="210" t="s">
        <v>1020</v>
      </c>
      <c r="D19" s="258" t="s">
        <v>1021</v>
      </c>
      <c r="E19" s="258" t="s">
        <v>100</v>
      </c>
      <c r="F19" s="257" t="s">
        <v>1023</v>
      </c>
      <c r="G19" s="324" t="s">
        <v>1220</v>
      </c>
      <c r="H19" s="257" t="s">
        <v>1026</v>
      </c>
      <c r="I19" s="273" t="s">
        <v>1326</v>
      </c>
      <c r="J19" s="273" t="s">
        <v>1327</v>
      </c>
      <c r="K19" s="258" t="s">
        <v>132</v>
      </c>
      <c r="L19" s="258" t="s">
        <v>737</v>
      </c>
      <c r="M19" s="257" t="s">
        <v>365</v>
      </c>
      <c r="N19" s="258" t="s">
        <v>1028</v>
      </c>
      <c r="O19" s="258" t="s">
        <v>1029</v>
      </c>
      <c r="P19" s="258" t="s">
        <v>1030</v>
      </c>
      <c r="Q19" s="259"/>
    </row>
    <row r="20" spans="1:541" ht="15.6" customHeight="1" outlineLevel="1" x14ac:dyDescent="0.25">
      <c r="A20" s="232">
        <v>2</v>
      </c>
      <c r="B20" s="193" t="s">
        <v>1031</v>
      </c>
      <c r="C20" s="5" t="s">
        <v>1032</v>
      </c>
      <c r="D20" s="5" t="s">
        <v>1033</v>
      </c>
      <c r="E20" s="5" t="s">
        <v>100</v>
      </c>
      <c r="F20" s="213" t="s">
        <v>1023</v>
      </c>
      <c r="G20" s="322" t="s">
        <v>1220</v>
      </c>
      <c r="H20" s="213" t="s">
        <v>1026</v>
      </c>
      <c r="I20" s="212">
        <v>2019</v>
      </c>
      <c r="J20" s="212">
        <v>2024</v>
      </c>
      <c r="K20" s="5" t="s">
        <v>737</v>
      </c>
      <c r="L20" s="5" t="s">
        <v>737</v>
      </c>
      <c r="M20" s="213" t="s">
        <v>365</v>
      </c>
      <c r="N20" s="5" t="s">
        <v>1028</v>
      </c>
      <c r="O20" s="5" t="s">
        <v>1029</v>
      </c>
      <c r="P20" s="5" t="s">
        <v>1030</v>
      </c>
      <c r="Q20" s="234"/>
    </row>
    <row r="21" spans="1:541" ht="15.6" customHeight="1" outlineLevel="1" x14ac:dyDescent="0.25">
      <c r="A21" s="232">
        <v>3</v>
      </c>
      <c r="B21" s="193" t="s">
        <v>1019</v>
      </c>
      <c r="C21" s="5" t="s">
        <v>1088</v>
      </c>
      <c r="D21" s="5" t="s">
        <v>1087</v>
      </c>
      <c r="E21" s="5" t="s">
        <v>100</v>
      </c>
      <c r="F21" s="213" t="s">
        <v>0</v>
      </c>
      <c r="G21" s="213"/>
      <c r="H21" s="213"/>
      <c r="I21" s="235"/>
      <c r="J21" s="235"/>
      <c r="K21" s="5"/>
      <c r="L21" s="5"/>
      <c r="M21" s="213"/>
      <c r="N21" s="5"/>
      <c r="O21" s="5"/>
      <c r="P21" s="5"/>
      <c r="Q21" s="234"/>
    </row>
    <row r="22" spans="1:541" outlineLevel="1" x14ac:dyDescent="0.25">
      <c r="A22" s="202">
        <v>4</v>
      </c>
      <c r="B22" s="203" t="s">
        <v>905</v>
      </c>
      <c r="C22" s="204" t="s">
        <v>1047</v>
      </c>
      <c r="D22" s="203" t="s">
        <v>1318</v>
      </c>
      <c r="E22" s="5"/>
      <c r="F22" s="205"/>
      <c r="G22" s="213" t="s">
        <v>1221</v>
      </c>
      <c r="H22" s="213" t="s">
        <v>1026</v>
      </c>
      <c r="I22" s="205" t="s">
        <v>1323</v>
      </c>
      <c r="J22" s="205" t="s">
        <v>1227</v>
      </c>
      <c r="K22" s="205"/>
      <c r="L22" s="205"/>
      <c r="M22" s="205" t="s">
        <v>365</v>
      </c>
      <c r="N22" s="205"/>
      <c r="O22" s="205"/>
      <c r="P22" s="5"/>
      <c r="Q22" s="234"/>
    </row>
    <row r="23" spans="1:541" ht="15.75" outlineLevel="1" thickBot="1" x14ac:dyDescent="0.3">
      <c r="A23" s="206">
        <v>5</v>
      </c>
      <c r="B23" s="207" t="s">
        <v>905</v>
      </c>
      <c r="C23" s="208" t="s">
        <v>1051</v>
      </c>
      <c r="D23" s="207" t="s">
        <v>1319</v>
      </c>
      <c r="E23" s="209"/>
      <c r="F23" s="200"/>
      <c r="G23" s="213" t="s">
        <v>1221</v>
      </c>
      <c r="H23" s="213" t="s">
        <v>1026</v>
      </c>
      <c r="I23" s="200" t="s">
        <v>1324</v>
      </c>
      <c r="J23" s="200" t="s">
        <v>1325</v>
      </c>
      <c r="K23" s="200"/>
      <c r="L23" s="200"/>
      <c r="M23" s="200" t="s">
        <v>365</v>
      </c>
      <c r="N23" s="200"/>
      <c r="O23" s="200"/>
      <c r="P23" s="209"/>
      <c r="Q23" s="242"/>
    </row>
    <row r="24" spans="1:541" s="201" customFormat="1" ht="15.75" thickBot="1" x14ac:dyDescent="0.3">
      <c r="A24" s="243"/>
      <c r="B24" s="244"/>
      <c r="F24" s="243"/>
      <c r="G24" s="243"/>
      <c r="H24" s="243"/>
      <c r="M24" s="243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8"/>
      <c r="BK24" s="228"/>
      <c r="BL24" s="228"/>
      <c r="BM24" s="228"/>
      <c r="BN24" s="228"/>
      <c r="BO24" s="228"/>
      <c r="BP24" s="228"/>
      <c r="BQ24" s="228"/>
      <c r="BR24" s="228"/>
      <c r="BS24" s="228"/>
      <c r="BT24" s="228"/>
      <c r="BU24" s="228"/>
      <c r="BV24" s="228"/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  <c r="CG24" s="228"/>
      <c r="CH24" s="228"/>
      <c r="CI24" s="228"/>
      <c r="CJ24" s="228"/>
      <c r="CK24" s="228"/>
      <c r="CL24" s="228"/>
      <c r="CM24" s="228"/>
      <c r="CN24" s="228"/>
      <c r="CO24" s="228"/>
      <c r="CP24" s="228"/>
      <c r="CQ24" s="228"/>
      <c r="CR24" s="228"/>
      <c r="CS24" s="228"/>
      <c r="CT24" s="228"/>
      <c r="CU24" s="228"/>
      <c r="CV24" s="228"/>
      <c r="CW24" s="228"/>
      <c r="CX24" s="228"/>
      <c r="CY24" s="228"/>
      <c r="CZ24" s="228"/>
      <c r="DA24" s="228"/>
      <c r="DB24" s="228"/>
      <c r="DC24" s="228"/>
      <c r="DD24" s="228"/>
      <c r="DE24" s="228"/>
      <c r="DF24" s="228"/>
      <c r="DG24" s="228"/>
      <c r="DH24" s="228"/>
      <c r="DI24" s="228"/>
      <c r="DJ24" s="228"/>
      <c r="DK24" s="228"/>
      <c r="DL24" s="228"/>
      <c r="DM24" s="228"/>
      <c r="DN24" s="228"/>
      <c r="DO24" s="228"/>
      <c r="DP24" s="228"/>
      <c r="DQ24" s="228"/>
      <c r="DR24" s="228"/>
      <c r="DS24" s="228"/>
      <c r="DT24" s="228"/>
      <c r="DU24" s="228"/>
      <c r="DV24" s="228"/>
      <c r="DW24" s="228"/>
      <c r="DX24" s="228"/>
      <c r="DY24" s="228"/>
      <c r="DZ24" s="228"/>
      <c r="EA24" s="228"/>
      <c r="EB24" s="228"/>
      <c r="EC24" s="228"/>
      <c r="ED24" s="228"/>
      <c r="EE24" s="228"/>
      <c r="EF24" s="228"/>
      <c r="EG24" s="228"/>
      <c r="EH24" s="228"/>
      <c r="EI24" s="228"/>
      <c r="EJ24" s="228"/>
      <c r="EK24" s="228"/>
      <c r="EL24" s="228"/>
      <c r="EM24" s="228"/>
      <c r="EN24" s="228"/>
      <c r="EO24" s="228"/>
      <c r="EP24" s="228"/>
      <c r="EQ24" s="228"/>
      <c r="ER24" s="228"/>
      <c r="ES24" s="228"/>
      <c r="ET24" s="228"/>
      <c r="EU24" s="228"/>
      <c r="EV24" s="228"/>
      <c r="EW24" s="228"/>
      <c r="EX24" s="228"/>
      <c r="EY24" s="228"/>
      <c r="EZ24" s="228"/>
      <c r="FA24" s="228"/>
      <c r="FB24" s="228"/>
      <c r="FC24" s="228"/>
      <c r="FD24" s="228"/>
      <c r="FE24" s="228"/>
      <c r="FF24" s="228"/>
      <c r="FG24" s="228"/>
      <c r="FH24" s="228"/>
      <c r="FI24" s="228"/>
      <c r="FJ24" s="228"/>
      <c r="FK24" s="228"/>
      <c r="FL24" s="228"/>
      <c r="FM24" s="228"/>
      <c r="FN24" s="228"/>
      <c r="FO24" s="228"/>
      <c r="FP24" s="228"/>
      <c r="FQ24" s="228"/>
      <c r="FR24" s="228"/>
      <c r="FS24" s="228"/>
      <c r="FT24" s="228"/>
      <c r="FU24" s="228"/>
      <c r="FV24" s="228"/>
      <c r="FW24" s="228"/>
      <c r="FX24" s="228"/>
      <c r="FY24" s="228"/>
      <c r="FZ24" s="228"/>
      <c r="GA24" s="228"/>
      <c r="GB24" s="228"/>
      <c r="GC24" s="228"/>
      <c r="GD24" s="228"/>
      <c r="GE24" s="228"/>
      <c r="GF24" s="228"/>
      <c r="GG24" s="228"/>
      <c r="GH24" s="228"/>
      <c r="GI24" s="228"/>
      <c r="GJ24" s="228"/>
      <c r="GK24" s="228"/>
      <c r="GL24" s="228"/>
      <c r="GM24" s="228"/>
      <c r="GN24" s="228"/>
      <c r="GO24" s="228"/>
      <c r="GP24" s="228"/>
      <c r="GQ24" s="228"/>
      <c r="GR24" s="228"/>
      <c r="GS24" s="228"/>
      <c r="GT24" s="228"/>
      <c r="GU24" s="228"/>
      <c r="GV24" s="228"/>
      <c r="GW24" s="228"/>
      <c r="GX24" s="228"/>
      <c r="GY24" s="228"/>
      <c r="GZ24" s="228"/>
      <c r="HA24" s="228"/>
      <c r="HB24" s="228"/>
      <c r="HC24" s="228"/>
      <c r="HD24" s="228"/>
      <c r="HE24" s="228"/>
      <c r="HF24" s="228"/>
      <c r="HG24" s="228"/>
      <c r="HH24" s="228"/>
      <c r="HI24" s="228"/>
      <c r="HJ24" s="228"/>
      <c r="HK24" s="228"/>
      <c r="HL24" s="228"/>
      <c r="HM24" s="228"/>
      <c r="HN24" s="228"/>
      <c r="HO24" s="228"/>
      <c r="HP24" s="228"/>
      <c r="HQ24" s="228"/>
      <c r="HR24" s="228"/>
      <c r="HS24" s="228"/>
      <c r="HT24" s="228"/>
      <c r="HU24" s="228"/>
      <c r="HV24" s="228"/>
      <c r="HW24" s="228"/>
      <c r="HX24" s="228"/>
      <c r="HY24" s="228"/>
      <c r="HZ24" s="228"/>
      <c r="IA24" s="228"/>
      <c r="IB24" s="228"/>
      <c r="IC24" s="228"/>
      <c r="ID24" s="228"/>
      <c r="IE24" s="228"/>
      <c r="IF24" s="228"/>
      <c r="IG24" s="228"/>
      <c r="IH24" s="228"/>
      <c r="II24" s="228"/>
      <c r="IJ24" s="228"/>
      <c r="IK24" s="228"/>
      <c r="IL24" s="228"/>
      <c r="IM24" s="228"/>
      <c r="IN24" s="228"/>
      <c r="IO24" s="228"/>
      <c r="IP24" s="228"/>
      <c r="IQ24" s="228"/>
      <c r="IR24" s="228"/>
      <c r="IS24" s="228"/>
      <c r="IT24" s="228"/>
      <c r="IU24" s="228"/>
      <c r="IV24" s="228"/>
      <c r="IW24" s="228"/>
      <c r="IX24" s="228"/>
      <c r="IY24" s="228"/>
      <c r="IZ24" s="228"/>
      <c r="JA24" s="228"/>
      <c r="JB24" s="228"/>
      <c r="JC24" s="228"/>
      <c r="JD24" s="228"/>
      <c r="JE24" s="228"/>
      <c r="JF24" s="228"/>
      <c r="JG24" s="228"/>
      <c r="JH24" s="228"/>
      <c r="JI24" s="228"/>
      <c r="JJ24" s="228"/>
      <c r="JK24" s="228"/>
      <c r="JL24" s="228"/>
      <c r="JM24" s="228"/>
      <c r="JN24" s="228"/>
      <c r="JO24" s="228"/>
      <c r="JP24" s="228"/>
      <c r="JQ24" s="228"/>
      <c r="JR24" s="228"/>
      <c r="JS24" s="228"/>
      <c r="JT24" s="228"/>
      <c r="JU24" s="228"/>
      <c r="JV24" s="228"/>
      <c r="JW24" s="228"/>
      <c r="JX24" s="228"/>
      <c r="JY24" s="228"/>
      <c r="JZ24" s="228"/>
      <c r="KA24" s="228"/>
      <c r="KB24" s="228"/>
      <c r="KC24" s="228"/>
      <c r="KD24" s="228"/>
      <c r="KE24" s="228"/>
      <c r="KF24" s="228"/>
      <c r="KG24" s="228"/>
      <c r="KH24" s="228"/>
      <c r="KI24" s="228"/>
      <c r="KJ24" s="228"/>
      <c r="KK24" s="228"/>
      <c r="KL24" s="228"/>
      <c r="KM24" s="228"/>
      <c r="KN24" s="228"/>
      <c r="KO24" s="228"/>
      <c r="KP24" s="228"/>
      <c r="KQ24" s="228"/>
      <c r="KR24" s="228"/>
      <c r="KS24" s="228"/>
      <c r="KT24" s="228"/>
      <c r="KU24" s="228"/>
      <c r="KV24" s="228"/>
      <c r="KW24" s="228"/>
      <c r="KX24" s="228"/>
      <c r="KY24" s="228"/>
      <c r="KZ24" s="228"/>
      <c r="LA24" s="228"/>
      <c r="LB24" s="228"/>
      <c r="LC24" s="228"/>
      <c r="LD24" s="228"/>
      <c r="LE24" s="228"/>
      <c r="LF24" s="228"/>
      <c r="LG24" s="228"/>
      <c r="LH24" s="228"/>
      <c r="LI24" s="228"/>
      <c r="LJ24" s="228"/>
      <c r="LK24" s="228"/>
      <c r="LL24" s="228"/>
      <c r="LM24" s="228"/>
      <c r="LN24" s="228"/>
      <c r="LO24" s="228"/>
      <c r="LP24" s="228"/>
      <c r="LQ24" s="228"/>
      <c r="LR24" s="228"/>
      <c r="LS24" s="228"/>
      <c r="LT24" s="228"/>
      <c r="LU24" s="228"/>
      <c r="LV24" s="228"/>
      <c r="LW24" s="228"/>
      <c r="LX24" s="228"/>
      <c r="LY24" s="228"/>
      <c r="LZ24" s="228"/>
      <c r="MA24" s="228"/>
      <c r="MB24" s="228"/>
      <c r="MC24" s="228"/>
      <c r="MD24" s="228"/>
      <c r="ME24" s="228"/>
      <c r="MF24" s="228"/>
      <c r="MG24" s="228"/>
      <c r="MH24" s="228"/>
      <c r="MI24" s="228"/>
      <c r="MJ24" s="228"/>
      <c r="MK24" s="228"/>
      <c r="ML24" s="228"/>
      <c r="MM24" s="228"/>
      <c r="MN24" s="228"/>
      <c r="MO24" s="228"/>
      <c r="MP24" s="228"/>
      <c r="MQ24" s="228"/>
      <c r="MR24" s="228"/>
      <c r="MS24" s="228"/>
      <c r="MT24" s="228"/>
      <c r="MU24" s="228"/>
      <c r="MV24" s="228"/>
      <c r="MW24" s="228"/>
      <c r="MX24" s="228"/>
      <c r="MY24" s="228"/>
      <c r="MZ24" s="228"/>
      <c r="NA24" s="228"/>
      <c r="NB24" s="228"/>
      <c r="NC24" s="228"/>
      <c r="ND24" s="228"/>
      <c r="NE24" s="228"/>
      <c r="NF24" s="228"/>
      <c r="NG24" s="228"/>
      <c r="NH24" s="228"/>
      <c r="NI24" s="228"/>
      <c r="NJ24" s="228"/>
      <c r="NK24" s="228"/>
      <c r="NL24" s="228"/>
      <c r="NM24" s="228"/>
      <c r="NN24" s="228"/>
      <c r="NO24" s="228"/>
      <c r="NP24" s="228"/>
      <c r="NQ24" s="228"/>
      <c r="NR24" s="228"/>
      <c r="NS24" s="228"/>
      <c r="NT24" s="228"/>
      <c r="NU24" s="228"/>
      <c r="NV24" s="228"/>
      <c r="NW24" s="228"/>
      <c r="NX24" s="228"/>
      <c r="NY24" s="228"/>
      <c r="NZ24" s="228"/>
      <c r="OA24" s="228"/>
      <c r="OB24" s="228"/>
      <c r="OC24" s="228"/>
      <c r="OD24" s="228"/>
      <c r="OE24" s="228"/>
      <c r="OF24" s="228"/>
      <c r="OG24" s="228"/>
      <c r="OH24" s="228"/>
      <c r="OI24" s="228"/>
      <c r="OJ24" s="228"/>
      <c r="OK24" s="228"/>
      <c r="OL24" s="228"/>
      <c r="OM24" s="228"/>
      <c r="ON24" s="228"/>
      <c r="OO24" s="228"/>
      <c r="OP24" s="228"/>
      <c r="OQ24" s="228"/>
      <c r="OR24" s="228"/>
      <c r="OS24" s="228"/>
      <c r="OT24" s="228"/>
      <c r="OU24" s="228"/>
      <c r="OV24" s="228"/>
      <c r="OW24" s="228"/>
      <c r="OX24" s="228"/>
      <c r="OY24" s="228"/>
      <c r="OZ24" s="228"/>
      <c r="PA24" s="228"/>
      <c r="PB24" s="228"/>
      <c r="PC24" s="228"/>
      <c r="PD24" s="228"/>
      <c r="PE24" s="228"/>
      <c r="PF24" s="228"/>
      <c r="PG24" s="228"/>
      <c r="PH24" s="228"/>
      <c r="PI24" s="228"/>
      <c r="PJ24" s="228"/>
      <c r="PK24" s="228"/>
      <c r="PL24" s="228"/>
      <c r="PM24" s="228"/>
      <c r="PN24" s="228"/>
      <c r="PO24" s="228"/>
      <c r="PP24" s="228"/>
      <c r="PQ24" s="228"/>
      <c r="PR24" s="228"/>
      <c r="PS24" s="228"/>
      <c r="PT24" s="228"/>
      <c r="PU24" s="228"/>
      <c r="PV24" s="228"/>
      <c r="PW24" s="228"/>
      <c r="PX24" s="228"/>
      <c r="PY24" s="228"/>
      <c r="PZ24" s="228"/>
      <c r="QA24" s="228"/>
      <c r="QB24" s="228"/>
      <c r="QC24" s="228"/>
      <c r="QD24" s="228"/>
      <c r="QE24" s="228"/>
      <c r="QF24" s="228"/>
      <c r="QG24" s="228"/>
      <c r="QH24" s="228"/>
      <c r="QI24" s="228"/>
      <c r="QJ24" s="228"/>
      <c r="QK24" s="228"/>
      <c r="QL24" s="228"/>
      <c r="QM24" s="228"/>
      <c r="QN24" s="228"/>
      <c r="QO24" s="228"/>
      <c r="QP24" s="228"/>
      <c r="QQ24" s="228"/>
      <c r="QR24" s="228"/>
      <c r="QS24" s="228"/>
      <c r="QT24" s="228"/>
      <c r="QU24" s="228"/>
      <c r="QV24" s="228"/>
      <c r="QW24" s="228"/>
      <c r="QX24" s="228"/>
      <c r="QY24" s="228"/>
      <c r="QZ24" s="228"/>
      <c r="RA24" s="228"/>
      <c r="RB24" s="228"/>
      <c r="RC24" s="228"/>
      <c r="RD24" s="228"/>
      <c r="RE24" s="228"/>
      <c r="RF24" s="228"/>
      <c r="RG24" s="228"/>
      <c r="RH24" s="228"/>
      <c r="RI24" s="228"/>
      <c r="RJ24" s="228"/>
      <c r="RK24" s="228"/>
      <c r="RL24" s="228"/>
      <c r="RM24" s="228"/>
      <c r="RN24" s="228"/>
      <c r="RO24" s="228"/>
      <c r="RP24" s="228"/>
      <c r="RQ24" s="228"/>
      <c r="RR24" s="228"/>
      <c r="RS24" s="228"/>
      <c r="RT24" s="228"/>
      <c r="RU24" s="228"/>
      <c r="RV24" s="228"/>
      <c r="RW24" s="228"/>
      <c r="RX24" s="228"/>
      <c r="RY24" s="228"/>
      <c r="RZ24" s="228"/>
      <c r="SA24" s="228"/>
      <c r="SB24" s="228"/>
      <c r="SC24" s="228"/>
      <c r="SD24" s="228"/>
      <c r="SE24" s="228"/>
      <c r="SF24" s="228"/>
      <c r="SG24" s="228"/>
      <c r="SH24" s="228"/>
      <c r="SI24" s="228"/>
      <c r="SJ24" s="228"/>
      <c r="SK24" s="228"/>
      <c r="SL24" s="228"/>
      <c r="SM24" s="228"/>
      <c r="SN24" s="228"/>
      <c r="SO24" s="228"/>
      <c r="SP24" s="228"/>
      <c r="SQ24" s="228"/>
      <c r="SR24" s="228"/>
      <c r="SS24" s="228"/>
      <c r="ST24" s="228"/>
      <c r="SU24" s="228"/>
      <c r="SV24" s="228"/>
      <c r="SW24" s="228"/>
      <c r="SX24" s="228"/>
      <c r="SY24" s="228"/>
      <c r="SZ24" s="228"/>
      <c r="TA24" s="228"/>
      <c r="TB24" s="228"/>
      <c r="TC24" s="228"/>
      <c r="TD24" s="228"/>
      <c r="TE24" s="228"/>
      <c r="TF24" s="228"/>
      <c r="TG24" s="228"/>
      <c r="TH24" s="228"/>
      <c r="TI24" s="228"/>
      <c r="TJ24" s="228"/>
      <c r="TK24" s="228"/>
      <c r="TL24" s="228"/>
      <c r="TM24" s="228"/>
      <c r="TN24" s="228"/>
      <c r="TO24" s="228"/>
      <c r="TP24" s="228"/>
      <c r="TQ24" s="228"/>
      <c r="TR24" s="228"/>
      <c r="TS24" s="228"/>
      <c r="TT24" s="228"/>
      <c r="TU24" s="228"/>
    </row>
    <row r="25" spans="1:541" outlineLevel="1" x14ac:dyDescent="0.25">
      <c r="A25" s="230">
        <v>1</v>
      </c>
      <c r="B25" s="195" t="s">
        <v>674</v>
      </c>
      <c r="C25" s="210" t="s">
        <v>500</v>
      </c>
      <c r="D25" s="210" t="s">
        <v>675</v>
      </c>
      <c r="E25" s="210" t="s">
        <v>100</v>
      </c>
      <c r="F25" s="216" t="s">
        <v>0</v>
      </c>
      <c r="G25" s="321" t="s">
        <v>1184</v>
      </c>
      <c r="H25" s="321" t="s">
        <v>679</v>
      </c>
      <c r="I25" s="216" t="s">
        <v>1320</v>
      </c>
      <c r="J25" s="216" t="s">
        <v>1321</v>
      </c>
      <c r="K25" s="210" t="s">
        <v>535</v>
      </c>
      <c r="L25" s="210" t="s">
        <v>535</v>
      </c>
      <c r="M25" s="216" t="s">
        <v>365</v>
      </c>
      <c r="N25" s="210" t="s">
        <v>1159</v>
      </c>
      <c r="O25" s="210" t="s">
        <v>1160</v>
      </c>
      <c r="P25" s="210" t="s">
        <v>1156</v>
      </c>
      <c r="Q25" s="229"/>
    </row>
    <row r="26" spans="1:541" s="240" customFormat="1" outlineLevel="1" x14ac:dyDescent="0.25">
      <c r="A26" s="237">
        <v>2</v>
      </c>
      <c r="B26" s="238" t="s">
        <v>674</v>
      </c>
      <c r="C26" s="222" t="s">
        <v>681</v>
      </c>
      <c r="D26" s="5" t="s">
        <v>1185</v>
      </c>
      <c r="E26" s="5" t="s">
        <v>100</v>
      </c>
      <c r="F26" s="213" t="s">
        <v>0</v>
      </c>
      <c r="G26" s="322" t="s">
        <v>1184</v>
      </c>
      <c r="H26" s="322" t="s">
        <v>679</v>
      </c>
      <c r="I26" s="213" t="s">
        <v>1223</v>
      </c>
      <c r="J26" s="213" t="s">
        <v>1224</v>
      </c>
      <c r="K26" s="222" t="s">
        <v>535</v>
      </c>
      <c r="L26" s="222" t="s">
        <v>535</v>
      </c>
      <c r="M26" s="223" t="s">
        <v>365</v>
      </c>
      <c r="N26" s="222" t="s">
        <v>1159</v>
      </c>
      <c r="O26" s="222" t="s">
        <v>1160</v>
      </c>
      <c r="P26" s="222" t="s">
        <v>1156</v>
      </c>
      <c r="Q26" s="239"/>
    </row>
    <row r="27" spans="1:541" outlineLevel="1" x14ac:dyDescent="0.25">
      <c r="A27" s="232">
        <v>3</v>
      </c>
      <c r="B27" s="193" t="s">
        <v>674</v>
      </c>
      <c r="C27" s="5" t="s">
        <v>989</v>
      </c>
      <c r="D27" s="5" t="s">
        <v>990</v>
      </c>
      <c r="E27" s="5" t="s">
        <v>100</v>
      </c>
      <c r="F27" s="213" t="s">
        <v>1146</v>
      </c>
      <c r="G27" s="322" t="s">
        <v>1026</v>
      </c>
      <c r="H27" s="322" t="s">
        <v>679</v>
      </c>
      <c r="I27" s="367" t="s">
        <v>97</v>
      </c>
      <c r="J27" s="368" t="s">
        <v>96</v>
      </c>
      <c r="K27" s="5"/>
      <c r="L27" s="5"/>
      <c r="M27" s="213" t="s">
        <v>365</v>
      </c>
      <c r="N27" s="5" t="s">
        <v>1028</v>
      </c>
      <c r="O27" s="5" t="s">
        <v>1029</v>
      </c>
      <c r="P27" s="5" t="s">
        <v>1030</v>
      </c>
      <c r="Q27" s="234" t="s">
        <v>991</v>
      </c>
      <c r="U27" s="246"/>
    </row>
    <row r="28" spans="1:541" outlineLevel="1" x14ac:dyDescent="0.25">
      <c r="A28" s="232">
        <v>4</v>
      </c>
      <c r="B28" s="193" t="s">
        <v>674</v>
      </c>
      <c r="C28" s="5" t="s">
        <v>989</v>
      </c>
      <c r="D28" s="5" t="s">
        <v>990</v>
      </c>
      <c r="E28" s="5" t="s">
        <v>100</v>
      </c>
      <c r="F28" s="213" t="s">
        <v>1146</v>
      </c>
      <c r="G28" s="322" t="s">
        <v>1026</v>
      </c>
      <c r="H28" s="322" t="s">
        <v>679</v>
      </c>
      <c r="I28" s="367" t="s">
        <v>93</v>
      </c>
      <c r="J28" s="368" t="s">
        <v>92</v>
      </c>
      <c r="K28" s="5"/>
      <c r="L28" s="5"/>
      <c r="M28" s="213" t="s">
        <v>365</v>
      </c>
      <c r="N28" s="5" t="s">
        <v>1028</v>
      </c>
      <c r="O28" s="5" t="s">
        <v>1029</v>
      </c>
      <c r="P28" s="5" t="s">
        <v>1030</v>
      </c>
      <c r="Q28" s="234" t="s">
        <v>992</v>
      </c>
      <c r="U28" s="246"/>
    </row>
    <row r="29" spans="1:541" outlineLevel="1" x14ac:dyDescent="0.25">
      <c r="A29" s="232">
        <v>5</v>
      </c>
      <c r="B29" s="193" t="s">
        <v>674</v>
      </c>
      <c r="C29" s="5" t="s">
        <v>989</v>
      </c>
      <c r="D29" s="5" t="s">
        <v>990</v>
      </c>
      <c r="E29" s="5" t="s">
        <v>100</v>
      </c>
      <c r="F29" s="213" t="s">
        <v>1146</v>
      </c>
      <c r="G29" s="322" t="s">
        <v>1026</v>
      </c>
      <c r="H29" s="322" t="s">
        <v>679</v>
      </c>
      <c r="I29" s="367" t="s">
        <v>87</v>
      </c>
      <c r="J29" s="368" t="s">
        <v>86</v>
      </c>
      <c r="K29" s="5"/>
      <c r="L29" s="5"/>
      <c r="M29" s="213" t="s">
        <v>365</v>
      </c>
      <c r="N29" s="5" t="s">
        <v>1028</v>
      </c>
      <c r="O29" s="5" t="s">
        <v>1029</v>
      </c>
      <c r="P29" s="5" t="s">
        <v>1030</v>
      </c>
      <c r="Q29" s="234" t="s">
        <v>993</v>
      </c>
      <c r="U29" s="246"/>
    </row>
    <row r="30" spans="1:541" outlineLevel="1" x14ac:dyDescent="0.25">
      <c r="A30" s="232">
        <v>6</v>
      </c>
      <c r="B30" s="193" t="s">
        <v>674</v>
      </c>
      <c r="C30" s="5" t="s">
        <v>994</v>
      </c>
      <c r="D30" s="5" t="s">
        <v>995</v>
      </c>
      <c r="E30" s="5" t="s">
        <v>100</v>
      </c>
      <c r="F30" s="213" t="s">
        <v>1222</v>
      </c>
      <c r="G30" s="271" t="s">
        <v>1026</v>
      </c>
      <c r="H30" s="271" t="s">
        <v>679</v>
      </c>
      <c r="I30" s="367" t="s">
        <v>83</v>
      </c>
      <c r="J30" s="368" t="s">
        <v>77</v>
      </c>
      <c r="K30" s="5"/>
      <c r="L30" s="5"/>
      <c r="M30" s="213" t="s">
        <v>857</v>
      </c>
      <c r="N30" s="5" t="s">
        <v>1028</v>
      </c>
      <c r="O30" s="5" t="s">
        <v>1029</v>
      </c>
      <c r="P30" s="5" t="s">
        <v>1030</v>
      </c>
      <c r="Q30" s="234" t="s">
        <v>996</v>
      </c>
      <c r="U30" s="246"/>
    </row>
    <row r="31" spans="1:541" outlineLevel="1" x14ac:dyDescent="0.25">
      <c r="A31" s="232">
        <v>7</v>
      </c>
      <c r="B31" s="193" t="s">
        <v>674</v>
      </c>
      <c r="C31" s="5" t="s">
        <v>994</v>
      </c>
      <c r="D31" s="5" t="s">
        <v>995</v>
      </c>
      <c r="E31" s="5" t="s">
        <v>100</v>
      </c>
      <c r="F31" s="213" t="s">
        <v>1222</v>
      </c>
      <c r="G31" s="271" t="s">
        <v>1026</v>
      </c>
      <c r="H31" s="271" t="s">
        <v>679</v>
      </c>
      <c r="I31" s="367" t="s">
        <v>78</v>
      </c>
      <c r="J31" s="368" t="s">
        <v>77</v>
      </c>
      <c r="K31" s="5"/>
      <c r="L31" s="5"/>
      <c r="M31" s="213" t="s">
        <v>857</v>
      </c>
      <c r="N31" s="5" t="s">
        <v>1028</v>
      </c>
      <c r="O31" s="5" t="s">
        <v>1029</v>
      </c>
      <c r="P31" s="5" t="s">
        <v>1030</v>
      </c>
      <c r="Q31" s="234" t="s">
        <v>997</v>
      </c>
      <c r="S31" s="247"/>
      <c r="T31" s="247"/>
      <c r="U31" s="246"/>
    </row>
    <row r="32" spans="1:541" s="240" customFormat="1" ht="15.75" outlineLevel="1" thickBot="1" x14ac:dyDescent="0.3">
      <c r="A32" s="260">
        <v>8</v>
      </c>
      <c r="B32" s="281" t="s">
        <v>674</v>
      </c>
      <c r="C32" s="218" t="s">
        <v>998</v>
      </c>
      <c r="D32" s="218" t="s">
        <v>999</v>
      </c>
      <c r="E32" s="218" t="s">
        <v>100</v>
      </c>
      <c r="F32" s="251" t="s">
        <v>1222</v>
      </c>
      <c r="G32" s="282" t="s">
        <v>1026</v>
      </c>
      <c r="H32" s="282" t="s">
        <v>679</v>
      </c>
      <c r="I32" s="369" t="s">
        <v>73</v>
      </c>
      <c r="J32" s="370" t="s">
        <v>72</v>
      </c>
      <c r="K32" s="218"/>
      <c r="L32" s="218"/>
      <c r="M32" s="251" t="s">
        <v>857</v>
      </c>
      <c r="N32" s="224" t="s">
        <v>1028</v>
      </c>
      <c r="O32" s="224" t="s">
        <v>1029</v>
      </c>
      <c r="P32" s="224" t="s">
        <v>1030</v>
      </c>
      <c r="Q32" s="252" t="s">
        <v>1000</v>
      </c>
      <c r="S32" s="248"/>
      <c r="T32" s="248"/>
      <c r="U32" s="249"/>
    </row>
    <row r="33" spans="1:541" s="201" customFormat="1" ht="15.75" thickBot="1" x14ac:dyDescent="0.3">
      <c r="A33" s="279"/>
      <c r="B33" s="280"/>
      <c r="C33" s="253"/>
      <c r="D33" s="225"/>
      <c r="E33" s="253"/>
      <c r="F33" s="254"/>
      <c r="G33" s="254"/>
      <c r="H33" s="254"/>
      <c r="I33" s="253"/>
      <c r="J33" s="253"/>
      <c r="K33" s="253"/>
      <c r="L33" s="253"/>
      <c r="M33" s="254"/>
      <c r="N33" s="253"/>
      <c r="O33" s="253"/>
      <c r="P33" s="253"/>
      <c r="Q33" s="255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  <c r="EH33" s="228"/>
      <c r="EI33" s="228"/>
      <c r="EJ33" s="228"/>
      <c r="EK33" s="228"/>
      <c r="EL33" s="228"/>
      <c r="EM33" s="228"/>
      <c r="EN33" s="228"/>
      <c r="EO33" s="228"/>
      <c r="EP33" s="228"/>
      <c r="EQ33" s="228"/>
      <c r="ER33" s="228"/>
      <c r="ES33" s="228"/>
      <c r="ET33" s="228"/>
      <c r="EU33" s="228"/>
      <c r="EV33" s="228"/>
      <c r="EW33" s="228"/>
      <c r="EX33" s="228"/>
      <c r="EY33" s="228"/>
      <c r="EZ33" s="228"/>
      <c r="FA33" s="228"/>
      <c r="FB33" s="228"/>
      <c r="FC33" s="228"/>
      <c r="FD33" s="228"/>
      <c r="FE33" s="228"/>
      <c r="FF33" s="228"/>
      <c r="FG33" s="228"/>
      <c r="FH33" s="228"/>
      <c r="FI33" s="228"/>
      <c r="FJ33" s="228"/>
      <c r="FK33" s="228"/>
      <c r="FL33" s="228"/>
      <c r="FM33" s="228"/>
      <c r="FN33" s="228"/>
      <c r="FO33" s="228"/>
      <c r="FP33" s="228"/>
      <c r="FQ33" s="228"/>
      <c r="FR33" s="228"/>
      <c r="FS33" s="228"/>
      <c r="FT33" s="228"/>
      <c r="FU33" s="228"/>
      <c r="FV33" s="228"/>
      <c r="FW33" s="228"/>
      <c r="FX33" s="228"/>
      <c r="FY33" s="228"/>
      <c r="FZ33" s="228"/>
      <c r="GA33" s="228"/>
      <c r="GB33" s="228"/>
      <c r="GC33" s="228"/>
      <c r="GD33" s="228"/>
      <c r="GE33" s="228"/>
      <c r="GF33" s="228"/>
      <c r="GG33" s="228"/>
      <c r="GH33" s="228"/>
      <c r="GI33" s="228"/>
      <c r="GJ33" s="228"/>
      <c r="GK33" s="228"/>
      <c r="GL33" s="228"/>
      <c r="GM33" s="228"/>
      <c r="GN33" s="228"/>
      <c r="GO33" s="228"/>
      <c r="GP33" s="228"/>
      <c r="GQ33" s="228"/>
      <c r="GR33" s="228"/>
      <c r="GS33" s="228"/>
      <c r="GT33" s="228"/>
      <c r="GU33" s="228"/>
      <c r="GV33" s="228"/>
      <c r="GW33" s="228"/>
      <c r="GX33" s="228"/>
      <c r="GY33" s="228"/>
      <c r="GZ33" s="228"/>
      <c r="HA33" s="228"/>
      <c r="HB33" s="228"/>
      <c r="HC33" s="228"/>
      <c r="HD33" s="228"/>
      <c r="HE33" s="228"/>
      <c r="HF33" s="228"/>
      <c r="HG33" s="228"/>
      <c r="HH33" s="228"/>
      <c r="HI33" s="228"/>
      <c r="HJ33" s="228"/>
      <c r="HK33" s="228"/>
      <c r="HL33" s="228"/>
      <c r="HM33" s="228"/>
      <c r="HN33" s="228"/>
      <c r="HO33" s="228"/>
      <c r="HP33" s="228"/>
      <c r="HQ33" s="228"/>
      <c r="HR33" s="228"/>
      <c r="HS33" s="228"/>
      <c r="HT33" s="228"/>
      <c r="HU33" s="228"/>
      <c r="HV33" s="228"/>
      <c r="HW33" s="228"/>
      <c r="HX33" s="228"/>
      <c r="HY33" s="228"/>
      <c r="HZ33" s="228"/>
      <c r="IA33" s="228"/>
      <c r="IB33" s="228"/>
      <c r="IC33" s="228"/>
      <c r="ID33" s="228"/>
      <c r="IE33" s="228"/>
      <c r="IF33" s="228"/>
      <c r="IG33" s="228"/>
      <c r="IH33" s="228"/>
      <c r="II33" s="228"/>
      <c r="IJ33" s="228"/>
      <c r="IK33" s="228"/>
      <c r="IL33" s="228"/>
      <c r="IM33" s="228"/>
      <c r="IN33" s="228"/>
      <c r="IO33" s="228"/>
      <c r="IP33" s="228"/>
      <c r="IQ33" s="228"/>
      <c r="IR33" s="228"/>
      <c r="IS33" s="228"/>
      <c r="IT33" s="228"/>
      <c r="IU33" s="228"/>
      <c r="IV33" s="228"/>
      <c r="IW33" s="228"/>
      <c r="IX33" s="228"/>
      <c r="IY33" s="228"/>
      <c r="IZ33" s="228"/>
      <c r="JA33" s="228"/>
      <c r="JB33" s="228"/>
      <c r="JC33" s="228"/>
      <c r="JD33" s="228"/>
      <c r="JE33" s="228"/>
      <c r="JF33" s="228"/>
      <c r="JG33" s="228"/>
      <c r="JH33" s="228"/>
      <c r="JI33" s="228"/>
      <c r="JJ33" s="228"/>
      <c r="JK33" s="228"/>
      <c r="JL33" s="228"/>
      <c r="JM33" s="228"/>
      <c r="JN33" s="228"/>
      <c r="JO33" s="228"/>
      <c r="JP33" s="228"/>
      <c r="JQ33" s="228"/>
      <c r="JR33" s="228"/>
      <c r="JS33" s="228"/>
      <c r="JT33" s="228"/>
      <c r="JU33" s="228"/>
      <c r="JV33" s="228"/>
      <c r="JW33" s="228"/>
      <c r="JX33" s="228"/>
      <c r="JY33" s="228"/>
      <c r="JZ33" s="228"/>
      <c r="KA33" s="228"/>
      <c r="KB33" s="228"/>
      <c r="KC33" s="228"/>
      <c r="KD33" s="228"/>
      <c r="KE33" s="228"/>
      <c r="KF33" s="228"/>
      <c r="KG33" s="228"/>
      <c r="KH33" s="228"/>
      <c r="KI33" s="228"/>
      <c r="KJ33" s="228"/>
      <c r="KK33" s="228"/>
      <c r="KL33" s="228"/>
      <c r="KM33" s="228"/>
      <c r="KN33" s="228"/>
      <c r="KO33" s="228"/>
      <c r="KP33" s="228"/>
      <c r="KQ33" s="228"/>
      <c r="KR33" s="228"/>
      <c r="KS33" s="228"/>
      <c r="KT33" s="228"/>
      <c r="KU33" s="228"/>
      <c r="KV33" s="228"/>
      <c r="KW33" s="228"/>
      <c r="KX33" s="228"/>
      <c r="KY33" s="228"/>
      <c r="KZ33" s="228"/>
      <c r="LA33" s="228"/>
      <c r="LB33" s="228"/>
      <c r="LC33" s="228"/>
      <c r="LD33" s="228"/>
      <c r="LE33" s="228"/>
      <c r="LF33" s="228"/>
      <c r="LG33" s="228"/>
      <c r="LH33" s="228"/>
      <c r="LI33" s="228"/>
      <c r="LJ33" s="228"/>
      <c r="LK33" s="228"/>
      <c r="LL33" s="228"/>
      <c r="LM33" s="228"/>
      <c r="LN33" s="228"/>
      <c r="LO33" s="228"/>
      <c r="LP33" s="228"/>
      <c r="LQ33" s="228"/>
      <c r="LR33" s="228"/>
      <c r="LS33" s="228"/>
      <c r="LT33" s="228"/>
      <c r="LU33" s="228"/>
      <c r="LV33" s="228"/>
      <c r="LW33" s="228"/>
      <c r="LX33" s="228"/>
      <c r="LY33" s="228"/>
      <c r="LZ33" s="228"/>
      <c r="MA33" s="228"/>
      <c r="MB33" s="228"/>
      <c r="MC33" s="228"/>
      <c r="MD33" s="228"/>
      <c r="ME33" s="228"/>
      <c r="MF33" s="228"/>
      <c r="MG33" s="228"/>
      <c r="MH33" s="228"/>
      <c r="MI33" s="228"/>
      <c r="MJ33" s="228"/>
      <c r="MK33" s="228"/>
      <c r="ML33" s="228"/>
      <c r="MM33" s="228"/>
      <c r="MN33" s="228"/>
      <c r="MO33" s="228"/>
      <c r="MP33" s="228"/>
      <c r="MQ33" s="228"/>
      <c r="MR33" s="228"/>
      <c r="MS33" s="228"/>
      <c r="MT33" s="228"/>
      <c r="MU33" s="228"/>
      <c r="MV33" s="228"/>
      <c r="MW33" s="228"/>
      <c r="MX33" s="228"/>
      <c r="MY33" s="228"/>
      <c r="MZ33" s="228"/>
      <c r="NA33" s="228"/>
      <c r="NB33" s="228"/>
      <c r="NC33" s="228"/>
      <c r="ND33" s="228"/>
      <c r="NE33" s="228"/>
      <c r="NF33" s="228"/>
      <c r="NG33" s="228"/>
      <c r="NH33" s="228"/>
      <c r="NI33" s="228"/>
      <c r="NJ33" s="228"/>
      <c r="NK33" s="228"/>
      <c r="NL33" s="228"/>
      <c r="NM33" s="228"/>
      <c r="NN33" s="228"/>
      <c r="NO33" s="228"/>
      <c r="NP33" s="228"/>
      <c r="NQ33" s="228"/>
      <c r="NR33" s="228"/>
      <c r="NS33" s="228"/>
      <c r="NT33" s="228"/>
      <c r="NU33" s="228"/>
      <c r="NV33" s="228"/>
      <c r="NW33" s="228"/>
      <c r="NX33" s="228"/>
      <c r="NY33" s="228"/>
      <c r="NZ33" s="228"/>
      <c r="OA33" s="228"/>
      <c r="OB33" s="228"/>
      <c r="OC33" s="228"/>
      <c r="OD33" s="228"/>
      <c r="OE33" s="228"/>
      <c r="OF33" s="228"/>
      <c r="OG33" s="228"/>
      <c r="OH33" s="228"/>
      <c r="OI33" s="228"/>
      <c r="OJ33" s="228"/>
      <c r="OK33" s="228"/>
      <c r="OL33" s="228"/>
      <c r="OM33" s="228"/>
      <c r="ON33" s="228"/>
      <c r="OO33" s="228"/>
      <c r="OP33" s="228"/>
      <c r="OQ33" s="228"/>
      <c r="OR33" s="228"/>
      <c r="OS33" s="228"/>
      <c r="OT33" s="228"/>
      <c r="OU33" s="228"/>
      <c r="OV33" s="228"/>
      <c r="OW33" s="228"/>
      <c r="OX33" s="228"/>
      <c r="OY33" s="228"/>
      <c r="OZ33" s="228"/>
      <c r="PA33" s="228"/>
      <c r="PB33" s="228"/>
      <c r="PC33" s="228"/>
      <c r="PD33" s="228"/>
      <c r="PE33" s="228"/>
      <c r="PF33" s="228"/>
      <c r="PG33" s="228"/>
      <c r="PH33" s="228"/>
      <c r="PI33" s="228"/>
      <c r="PJ33" s="228"/>
      <c r="PK33" s="228"/>
      <c r="PL33" s="228"/>
      <c r="PM33" s="228"/>
      <c r="PN33" s="228"/>
      <c r="PO33" s="228"/>
      <c r="PP33" s="228"/>
      <c r="PQ33" s="228"/>
      <c r="PR33" s="228"/>
      <c r="PS33" s="228"/>
      <c r="PT33" s="228"/>
      <c r="PU33" s="228"/>
      <c r="PV33" s="228"/>
      <c r="PW33" s="228"/>
      <c r="PX33" s="228"/>
      <c r="PY33" s="228"/>
      <c r="PZ33" s="228"/>
      <c r="QA33" s="228"/>
      <c r="QB33" s="228"/>
      <c r="QC33" s="228"/>
      <c r="QD33" s="228"/>
      <c r="QE33" s="228"/>
      <c r="QF33" s="228"/>
      <c r="QG33" s="228"/>
      <c r="QH33" s="228"/>
      <c r="QI33" s="228"/>
      <c r="QJ33" s="228"/>
      <c r="QK33" s="228"/>
      <c r="QL33" s="228"/>
      <c r="QM33" s="228"/>
      <c r="QN33" s="228"/>
      <c r="QO33" s="228"/>
      <c r="QP33" s="228"/>
      <c r="QQ33" s="228"/>
      <c r="QR33" s="228"/>
      <c r="QS33" s="228"/>
      <c r="QT33" s="228"/>
      <c r="QU33" s="228"/>
      <c r="QV33" s="228"/>
      <c r="QW33" s="228"/>
      <c r="QX33" s="228"/>
      <c r="QY33" s="228"/>
      <c r="QZ33" s="228"/>
      <c r="RA33" s="228"/>
      <c r="RB33" s="228"/>
      <c r="RC33" s="228"/>
      <c r="RD33" s="228"/>
      <c r="RE33" s="228"/>
      <c r="RF33" s="228"/>
      <c r="RG33" s="228"/>
      <c r="RH33" s="228"/>
      <c r="RI33" s="228"/>
      <c r="RJ33" s="228"/>
      <c r="RK33" s="228"/>
      <c r="RL33" s="228"/>
      <c r="RM33" s="228"/>
      <c r="RN33" s="228"/>
      <c r="RO33" s="228"/>
      <c r="RP33" s="228"/>
      <c r="RQ33" s="228"/>
      <c r="RR33" s="228"/>
      <c r="RS33" s="228"/>
      <c r="RT33" s="228"/>
      <c r="RU33" s="228"/>
      <c r="RV33" s="228"/>
      <c r="RW33" s="228"/>
      <c r="RX33" s="228"/>
      <c r="RY33" s="228"/>
      <c r="RZ33" s="228"/>
      <c r="SA33" s="228"/>
      <c r="SB33" s="228"/>
      <c r="SC33" s="228"/>
      <c r="SD33" s="228"/>
      <c r="SE33" s="228"/>
      <c r="SF33" s="228"/>
      <c r="SG33" s="228"/>
      <c r="SH33" s="228"/>
      <c r="SI33" s="228"/>
      <c r="SJ33" s="228"/>
      <c r="SK33" s="228"/>
      <c r="SL33" s="228"/>
      <c r="SM33" s="228"/>
      <c r="SN33" s="228"/>
      <c r="SO33" s="228"/>
      <c r="SP33" s="228"/>
      <c r="SQ33" s="228"/>
      <c r="SR33" s="228"/>
      <c r="SS33" s="228"/>
      <c r="ST33" s="228"/>
      <c r="SU33" s="228"/>
      <c r="SV33" s="228"/>
      <c r="SW33" s="228"/>
      <c r="SX33" s="228"/>
      <c r="SY33" s="228"/>
      <c r="SZ33" s="228"/>
      <c r="TA33" s="228"/>
      <c r="TB33" s="228"/>
      <c r="TC33" s="228"/>
      <c r="TD33" s="228"/>
      <c r="TE33" s="228"/>
      <c r="TF33" s="228"/>
      <c r="TG33" s="228"/>
      <c r="TH33" s="228"/>
      <c r="TI33" s="228"/>
      <c r="TJ33" s="228"/>
      <c r="TK33" s="228"/>
      <c r="TL33" s="228"/>
      <c r="TM33" s="228"/>
      <c r="TN33" s="228"/>
      <c r="TO33" s="228"/>
      <c r="TP33" s="228"/>
      <c r="TQ33" s="228"/>
      <c r="TR33" s="228"/>
      <c r="TS33" s="228"/>
      <c r="TT33" s="228"/>
      <c r="TU33" s="228"/>
    </row>
    <row r="34" spans="1:541" outlineLevel="1" x14ac:dyDescent="0.25">
      <c r="A34" s="230">
        <v>1</v>
      </c>
      <c r="B34" s="195" t="s">
        <v>477</v>
      </c>
      <c r="C34" s="210" t="s">
        <v>29</v>
      </c>
      <c r="D34" s="256" t="s">
        <v>1191</v>
      </c>
      <c r="E34" s="256" t="s">
        <v>803</v>
      </c>
      <c r="F34" s="257" t="s">
        <v>0</v>
      </c>
      <c r="G34" s="257" t="s">
        <v>483</v>
      </c>
      <c r="H34" s="257" t="s">
        <v>1166</v>
      </c>
      <c r="I34" s="257" t="s">
        <v>1302</v>
      </c>
      <c r="J34" s="365" t="s">
        <v>1303</v>
      </c>
      <c r="K34" s="257" t="s">
        <v>695</v>
      </c>
      <c r="L34" s="257" t="s">
        <v>695</v>
      </c>
      <c r="M34" s="257" t="s">
        <v>365</v>
      </c>
      <c r="N34" s="258" t="s">
        <v>1159</v>
      </c>
      <c r="O34" s="258" t="s">
        <v>1160</v>
      </c>
      <c r="P34" s="258" t="s">
        <v>1156</v>
      </c>
      <c r="Q34" s="259"/>
    </row>
    <row r="35" spans="1:541" outlineLevel="1" x14ac:dyDescent="0.25">
      <c r="A35" s="232">
        <v>2</v>
      </c>
      <c r="B35" s="193" t="s">
        <v>477</v>
      </c>
      <c r="C35" s="5" t="s">
        <v>29</v>
      </c>
      <c r="D35" s="5" t="s">
        <v>1192</v>
      </c>
      <c r="E35" s="204" t="s">
        <v>803</v>
      </c>
      <c r="F35" s="213" t="s">
        <v>0</v>
      </c>
      <c r="G35" s="213" t="s">
        <v>483</v>
      </c>
      <c r="H35" s="257" t="s">
        <v>1166</v>
      </c>
      <c r="I35" s="213" t="s">
        <v>1304</v>
      </c>
      <c r="J35" s="366" t="s">
        <v>1305</v>
      </c>
      <c r="K35" s="213" t="s">
        <v>695</v>
      </c>
      <c r="L35" s="213" t="s">
        <v>695</v>
      </c>
      <c r="M35" s="213" t="s">
        <v>365</v>
      </c>
      <c r="N35" s="5" t="s">
        <v>1159</v>
      </c>
      <c r="O35" s="5" t="s">
        <v>1160</v>
      </c>
      <c r="P35" s="5" t="s">
        <v>1156</v>
      </c>
      <c r="Q35" s="234"/>
    </row>
    <row r="36" spans="1:541" outlineLevel="1" x14ac:dyDescent="0.25">
      <c r="A36" s="232">
        <v>3</v>
      </c>
      <c r="B36" s="193" t="s">
        <v>477</v>
      </c>
      <c r="C36" s="5" t="s">
        <v>29</v>
      </c>
      <c r="D36" s="5" t="s">
        <v>489</v>
      </c>
      <c r="E36" s="204" t="s">
        <v>803</v>
      </c>
      <c r="F36" s="213" t="s">
        <v>0</v>
      </c>
      <c r="G36" s="213" t="s">
        <v>483</v>
      </c>
      <c r="H36" s="257" t="s">
        <v>1166</v>
      </c>
      <c r="I36" s="213" t="s">
        <v>1304</v>
      </c>
      <c r="J36" s="366" t="s">
        <v>1305</v>
      </c>
      <c r="K36" s="213" t="s">
        <v>695</v>
      </c>
      <c r="L36" s="213" t="s">
        <v>695</v>
      </c>
      <c r="M36" s="213" t="s">
        <v>365</v>
      </c>
      <c r="N36" s="5" t="s">
        <v>1159</v>
      </c>
      <c r="O36" s="5" t="s">
        <v>1160</v>
      </c>
      <c r="P36" s="5" t="s">
        <v>1156</v>
      </c>
      <c r="Q36" s="234"/>
    </row>
    <row r="37" spans="1:541" outlineLevel="1" x14ac:dyDescent="0.25">
      <c r="A37" s="232">
        <v>4</v>
      </c>
      <c r="B37" s="193" t="s">
        <v>477</v>
      </c>
      <c r="C37" s="204" t="s">
        <v>490</v>
      </c>
      <c r="D37" s="5" t="s">
        <v>491</v>
      </c>
      <c r="E37" s="204" t="s">
        <v>803</v>
      </c>
      <c r="F37" s="213" t="s">
        <v>0</v>
      </c>
      <c r="G37" s="213" t="s">
        <v>483</v>
      </c>
      <c r="H37" s="257" t="s">
        <v>1166</v>
      </c>
      <c r="I37" s="213" t="s">
        <v>1236</v>
      </c>
      <c r="J37" s="213" t="s">
        <v>1237</v>
      </c>
      <c r="K37" s="213" t="s">
        <v>695</v>
      </c>
      <c r="L37" s="213" t="s">
        <v>695</v>
      </c>
      <c r="M37" s="213" t="s">
        <v>365</v>
      </c>
      <c r="N37" s="5" t="s">
        <v>1159</v>
      </c>
      <c r="O37" s="5" t="s">
        <v>1160</v>
      </c>
      <c r="P37" s="5" t="s">
        <v>1156</v>
      </c>
      <c r="Q37" s="234" t="s">
        <v>1322</v>
      </c>
    </row>
    <row r="38" spans="1:541" outlineLevel="1" x14ac:dyDescent="0.25">
      <c r="A38" s="232">
        <v>5</v>
      </c>
      <c r="B38" s="193" t="s">
        <v>477</v>
      </c>
      <c r="C38" s="5" t="s">
        <v>1001</v>
      </c>
      <c r="D38" s="5" t="s">
        <v>1002</v>
      </c>
      <c r="E38" s="5" t="s">
        <v>100</v>
      </c>
      <c r="F38" s="213" t="s">
        <v>0</v>
      </c>
      <c r="G38" s="213" t="s">
        <v>483</v>
      </c>
      <c r="H38" s="257" t="s">
        <v>1166</v>
      </c>
      <c r="I38" s="213" t="s">
        <v>1238</v>
      </c>
      <c r="J38" s="213" t="s">
        <v>1239</v>
      </c>
      <c r="K38" s="5"/>
      <c r="L38" s="5"/>
      <c r="M38" s="213" t="s">
        <v>365</v>
      </c>
      <c r="N38" s="5" t="s">
        <v>1159</v>
      </c>
      <c r="O38" s="5" t="s">
        <v>1160</v>
      </c>
      <c r="P38" s="5" t="s">
        <v>1156</v>
      </c>
      <c r="Q38" s="234" t="s">
        <v>1003</v>
      </c>
    </row>
    <row r="39" spans="1:541" outlineLevel="1" x14ac:dyDescent="0.25">
      <c r="A39" s="232">
        <v>6</v>
      </c>
      <c r="B39" s="193" t="s">
        <v>477</v>
      </c>
      <c r="C39" s="5" t="s">
        <v>198</v>
      </c>
      <c r="D39" s="204" t="s">
        <v>1186</v>
      </c>
      <c r="E39" s="204" t="s">
        <v>803</v>
      </c>
      <c r="F39" s="213" t="s">
        <v>496</v>
      </c>
      <c r="G39" s="213" t="s">
        <v>483</v>
      </c>
      <c r="H39" s="257" t="s">
        <v>1166</v>
      </c>
      <c r="I39" s="213" t="s">
        <v>216</v>
      </c>
      <c r="J39" s="213" t="s">
        <v>215</v>
      </c>
      <c r="K39" s="213" t="s">
        <v>695</v>
      </c>
      <c r="L39" s="213" t="s">
        <v>695</v>
      </c>
      <c r="M39" s="213" t="s">
        <v>365</v>
      </c>
      <c r="N39" s="5" t="s">
        <v>1028</v>
      </c>
      <c r="O39" s="5" t="s">
        <v>1029</v>
      </c>
      <c r="P39" s="5" t="s">
        <v>1030</v>
      </c>
      <c r="Q39" s="234"/>
    </row>
    <row r="40" spans="1:541" s="240" customFormat="1" outlineLevel="1" x14ac:dyDescent="0.25">
      <c r="A40" s="260">
        <v>7</v>
      </c>
      <c r="B40" s="238" t="s">
        <v>477</v>
      </c>
      <c r="C40" s="218" t="s">
        <v>500</v>
      </c>
      <c r="D40" s="219" t="s">
        <v>1147</v>
      </c>
      <c r="E40" s="219" t="s">
        <v>803</v>
      </c>
      <c r="F40" s="261" t="s">
        <v>0</v>
      </c>
      <c r="G40" s="223" t="s">
        <v>483</v>
      </c>
      <c r="H40" s="257" t="s">
        <v>1166</v>
      </c>
      <c r="I40" s="366" t="s">
        <v>1329</v>
      </c>
      <c r="J40" s="366" t="s">
        <v>1330</v>
      </c>
      <c r="K40" s="261"/>
      <c r="L40" s="261"/>
      <c r="M40" s="251" t="s">
        <v>365</v>
      </c>
      <c r="N40" s="222" t="s">
        <v>1159</v>
      </c>
      <c r="O40" s="222" t="s">
        <v>1160</v>
      </c>
      <c r="P40" s="222" t="s">
        <v>1156</v>
      </c>
      <c r="Q40" s="378" t="s">
        <v>1235</v>
      </c>
    </row>
    <row r="41" spans="1:541" s="240" customFormat="1" outlineLevel="1" x14ac:dyDescent="0.25">
      <c r="A41" s="260">
        <v>8</v>
      </c>
      <c r="B41" s="238" t="s">
        <v>477</v>
      </c>
      <c r="C41" s="218" t="s">
        <v>500</v>
      </c>
      <c r="D41" s="219" t="s">
        <v>1148</v>
      </c>
      <c r="E41" s="219" t="s">
        <v>803</v>
      </c>
      <c r="F41" s="261" t="s">
        <v>0</v>
      </c>
      <c r="G41" s="223" t="s">
        <v>483</v>
      </c>
      <c r="H41" s="257" t="s">
        <v>1166</v>
      </c>
      <c r="I41" s="366" t="s">
        <v>1329</v>
      </c>
      <c r="J41" s="366" t="s">
        <v>1330</v>
      </c>
      <c r="K41" s="261"/>
      <c r="L41" s="261"/>
      <c r="M41" s="251" t="s">
        <v>365</v>
      </c>
      <c r="N41" s="222" t="s">
        <v>1159</v>
      </c>
      <c r="O41" s="222" t="s">
        <v>1160</v>
      </c>
      <c r="P41" s="222" t="s">
        <v>1156</v>
      </c>
      <c r="Q41" s="378" t="s">
        <v>1235</v>
      </c>
    </row>
    <row r="42" spans="1:541" s="240" customFormat="1" outlineLevel="1" x14ac:dyDescent="0.25">
      <c r="A42" s="260">
        <v>9</v>
      </c>
      <c r="B42" s="238" t="s">
        <v>477</v>
      </c>
      <c r="C42" s="218" t="s">
        <v>500</v>
      </c>
      <c r="D42" s="219" t="s">
        <v>1149</v>
      </c>
      <c r="E42" s="219" t="s">
        <v>803</v>
      </c>
      <c r="F42" s="261" t="s">
        <v>0</v>
      </c>
      <c r="G42" s="223" t="s">
        <v>483</v>
      </c>
      <c r="H42" s="257" t="s">
        <v>1166</v>
      </c>
      <c r="I42" s="366" t="s">
        <v>1329</v>
      </c>
      <c r="J42" s="366" t="s">
        <v>1330</v>
      </c>
      <c r="K42" s="261"/>
      <c r="L42" s="261"/>
      <c r="M42" s="251" t="s">
        <v>365</v>
      </c>
      <c r="N42" s="222" t="s">
        <v>1159</v>
      </c>
      <c r="O42" s="222" t="s">
        <v>1160</v>
      </c>
      <c r="P42" s="222" t="s">
        <v>1156</v>
      </c>
      <c r="Q42" s="378" t="s">
        <v>1235</v>
      </c>
    </row>
    <row r="43" spans="1:541" s="240" customFormat="1" outlineLevel="1" x14ac:dyDescent="0.25">
      <c r="A43" s="260">
        <v>10</v>
      </c>
      <c r="B43" s="238" t="s">
        <v>477</v>
      </c>
      <c r="C43" s="218" t="s">
        <v>500</v>
      </c>
      <c r="D43" s="219" t="s">
        <v>1150</v>
      </c>
      <c r="E43" s="219" t="s">
        <v>803</v>
      </c>
      <c r="F43" s="261" t="s">
        <v>0</v>
      </c>
      <c r="G43" s="223" t="s">
        <v>483</v>
      </c>
      <c r="H43" s="257" t="s">
        <v>1166</v>
      </c>
      <c r="I43" s="366" t="s">
        <v>1329</v>
      </c>
      <c r="J43" s="366" t="s">
        <v>1330</v>
      </c>
      <c r="K43" s="261"/>
      <c r="L43" s="261"/>
      <c r="M43" s="251" t="s">
        <v>365</v>
      </c>
      <c r="N43" s="222" t="s">
        <v>1159</v>
      </c>
      <c r="O43" s="222" t="s">
        <v>1160</v>
      </c>
      <c r="P43" s="222" t="s">
        <v>1156</v>
      </c>
      <c r="Q43" s="378" t="s">
        <v>1235</v>
      </c>
    </row>
    <row r="44" spans="1:541" s="240" customFormat="1" outlineLevel="1" x14ac:dyDescent="0.25">
      <c r="A44" s="260">
        <v>11</v>
      </c>
      <c r="B44" s="238" t="s">
        <v>477</v>
      </c>
      <c r="C44" s="218" t="s">
        <v>500</v>
      </c>
      <c r="D44" s="219" t="s">
        <v>1151</v>
      </c>
      <c r="E44" s="219" t="s">
        <v>803</v>
      </c>
      <c r="F44" s="261" t="s">
        <v>0</v>
      </c>
      <c r="G44" s="223" t="s">
        <v>483</v>
      </c>
      <c r="H44" s="257" t="s">
        <v>1166</v>
      </c>
      <c r="I44" s="366" t="s">
        <v>1329</v>
      </c>
      <c r="J44" s="366" t="s">
        <v>1330</v>
      </c>
      <c r="K44" s="261"/>
      <c r="L44" s="261"/>
      <c r="M44" s="251" t="s">
        <v>365</v>
      </c>
      <c r="N44" s="222" t="s">
        <v>1159</v>
      </c>
      <c r="O44" s="222" t="s">
        <v>1160</v>
      </c>
      <c r="P44" s="222" t="s">
        <v>1156</v>
      </c>
      <c r="Q44" s="378" t="s">
        <v>1235</v>
      </c>
    </row>
    <row r="45" spans="1:541" s="240" customFormat="1" outlineLevel="1" x14ac:dyDescent="0.25">
      <c r="A45" s="260">
        <v>12</v>
      </c>
      <c r="B45" s="238" t="s">
        <v>477</v>
      </c>
      <c r="C45" s="218" t="s">
        <v>500</v>
      </c>
      <c r="D45" s="219" t="s">
        <v>1152</v>
      </c>
      <c r="E45" s="219" t="s">
        <v>803</v>
      </c>
      <c r="F45" s="261" t="s">
        <v>0</v>
      </c>
      <c r="G45" s="223" t="s">
        <v>483</v>
      </c>
      <c r="H45" s="257" t="s">
        <v>1166</v>
      </c>
      <c r="I45" s="366" t="s">
        <v>1329</v>
      </c>
      <c r="J45" s="366" t="s">
        <v>1330</v>
      </c>
      <c r="K45" s="261"/>
      <c r="L45" s="261"/>
      <c r="M45" s="251" t="s">
        <v>365</v>
      </c>
      <c r="N45" s="222" t="s">
        <v>1159</v>
      </c>
      <c r="O45" s="222" t="s">
        <v>1160</v>
      </c>
      <c r="P45" s="222" t="s">
        <v>1156</v>
      </c>
      <c r="Q45" s="378" t="s">
        <v>1235</v>
      </c>
    </row>
    <row r="46" spans="1:541" s="240" customFormat="1" outlineLevel="1" x14ac:dyDescent="0.25">
      <c r="A46" s="260">
        <v>13</v>
      </c>
      <c r="B46" s="238" t="s">
        <v>477</v>
      </c>
      <c r="C46" s="218" t="s">
        <v>500</v>
      </c>
      <c r="D46" s="219" t="s">
        <v>1153</v>
      </c>
      <c r="E46" s="219" t="s">
        <v>803</v>
      </c>
      <c r="F46" s="261" t="s">
        <v>0</v>
      </c>
      <c r="G46" s="223" t="s">
        <v>483</v>
      </c>
      <c r="H46" s="257" t="s">
        <v>1166</v>
      </c>
      <c r="I46" s="366" t="s">
        <v>1329</v>
      </c>
      <c r="J46" s="366" t="s">
        <v>1330</v>
      </c>
      <c r="K46" s="261"/>
      <c r="L46" s="261"/>
      <c r="M46" s="251" t="s">
        <v>365</v>
      </c>
      <c r="N46" s="222" t="s">
        <v>1159</v>
      </c>
      <c r="O46" s="222" t="s">
        <v>1160</v>
      </c>
      <c r="P46" s="222" t="s">
        <v>1156</v>
      </c>
      <c r="Q46" s="378" t="s">
        <v>1235</v>
      </c>
    </row>
    <row r="47" spans="1:541" s="240" customFormat="1" outlineLevel="1" x14ac:dyDescent="0.25">
      <c r="A47" s="260">
        <v>14</v>
      </c>
      <c r="B47" s="238" t="s">
        <v>477</v>
      </c>
      <c r="C47" s="218" t="s">
        <v>500</v>
      </c>
      <c r="D47" s="219" t="s">
        <v>1154</v>
      </c>
      <c r="E47" s="219" t="s">
        <v>803</v>
      </c>
      <c r="F47" s="261" t="s">
        <v>0</v>
      </c>
      <c r="G47" s="223" t="s">
        <v>483</v>
      </c>
      <c r="H47" s="257" t="s">
        <v>1166</v>
      </c>
      <c r="I47" s="366" t="s">
        <v>1329</v>
      </c>
      <c r="J47" s="366" t="s">
        <v>1330</v>
      </c>
      <c r="K47" s="261"/>
      <c r="L47" s="261"/>
      <c r="M47" s="251" t="s">
        <v>365</v>
      </c>
      <c r="N47" s="222" t="s">
        <v>1159</v>
      </c>
      <c r="O47" s="222" t="s">
        <v>1160</v>
      </c>
      <c r="P47" s="222" t="s">
        <v>1156</v>
      </c>
      <c r="Q47" s="378" t="s">
        <v>1235</v>
      </c>
    </row>
    <row r="48" spans="1:541" s="240" customFormat="1" ht="15.75" outlineLevel="1" thickBot="1" x14ac:dyDescent="0.3">
      <c r="A48" s="260">
        <v>15</v>
      </c>
      <c r="B48" s="281" t="s">
        <v>477</v>
      </c>
      <c r="C48" s="218" t="s">
        <v>500</v>
      </c>
      <c r="D48" s="219" t="s">
        <v>1155</v>
      </c>
      <c r="E48" s="219" t="s">
        <v>803</v>
      </c>
      <c r="F48" s="261" t="s">
        <v>0</v>
      </c>
      <c r="G48" s="261" t="s">
        <v>483</v>
      </c>
      <c r="H48" s="284" t="s">
        <v>1166</v>
      </c>
      <c r="I48" s="371" t="s">
        <v>1329</v>
      </c>
      <c r="J48" s="371" t="s">
        <v>1330</v>
      </c>
      <c r="K48" s="261"/>
      <c r="L48" s="261"/>
      <c r="M48" s="251" t="s">
        <v>365</v>
      </c>
      <c r="N48" s="218" t="s">
        <v>1159</v>
      </c>
      <c r="O48" s="218" t="s">
        <v>1160</v>
      </c>
      <c r="P48" s="218" t="s">
        <v>1156</v>
      </c>
      <c r="Q48" s="378" t="s">
        <v>432</v>
      </c>
    </row>
    <row r="49" spans="1:541" s="201" customFormat="1" ht="15.75" thickBot="1" x14ac:dyDescent="0.3">
      <c r="A49" s="279"/>
      <c r="B49" s="280"/>
      <c r="C49" s="253"/>
      <c r="D49" s="253"/>
      <c r="E49" s="253"/>
      <c r="F49" s="254"/>
      <c r="G49" s="254"/>
      <c r="H49" s="254"/>
      <c r="I49" s="253"/>
      <c r="J49" s="253"/>
      <c r="K49" s="253"/>
      <c r="L49" s="253"/>
      <c r="M49" s="254"/>
      <c r="N49" s="253"/>
      <c r="O49" s="253"/>
      <c r="P49" s="253"/>
      <c r="Q49" s="255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28"/>
      <c r="BK49" s="228"/>
      <c r="BL49" s="228"/>
      <c r="BM49" s="228"/>
      <c r="BN49" s="228"/>
      <c r="BO49" s="228"/>
      <c r="BP49" s="228"/>
      <c r="BQ49" s="228"/>
      <c r="BR49" s="228"/>
      <c r="BS49" s="228"/>
      <c r="BT49" s="228"/>
      <c r="BU49" s="228"/>
      <c r="BV49" s="228"/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  <c r="CG49" s="228"/>
      <c r="CH49" s="228"/>
      <c r="CI49" s="228"/>
      <c r="CJ49" s="228"/>
      <c r="CK49" s="228"/>
      <c r="CL49" s="228"/>
      <c r="CM49" s="228"/>
      <c r="CN49" s="228"/>
      <c r="CO49" s="228"/>
      <c r="CP49" s="228"/>
      <c r="CQ49" s="228"/>
      <c r="CR49" s="228"/>
      <c r="CS49" s="228"/>
      <c r="CT49" s="228"/>
      <c r="CU49" s="228"/>
      <c r="CV49" s="228"/>
      <c r="CW49" s="228"/>
      <c r="CX49" s="228"/>
      <c r="CY49" s="228"/>
      <c r="CZ49" s="228"/>
      <c r="DA49" s="228"/>
      <c r="DB49" s="228"/>
      <c r="DC49" s="228"/>
      <c r="DD49" s="228"/>
      <c r="DE49" s="228"/>
      <c r="DF49" s="228"/>
      <c r="DG49" s="228"/>
      <c r="DH49" s="228"/>
      <c r="DI49" s="228"/>
      <c r="DJ49" s="228"/>
      <c r="DK49" s="228"/>
      <c r="DL49" s="228"/>
      <c r="DM49" s="228"/>
      <c r="DN49" s="228"/>
      <c r="DO49" s="228"/>
      <c r="DP49" s="228"/>
      <c r="DQ49" s="228"/>
      <c r="DR49" s="228"/>
      <c r="DS49" s="228"/>
      <c r="DT49" s="228"/>
      <c r="DU49" s="228"/>
      <c r="DV49" s="228"/>
      <c r="DW49" s="228"/>
      <c r="DX49" s="228"/>
      <c r="DY49" s="228"/>
      <c r="DZ49" s="228"/>
      <c r="EA49" s="228"/>
      <c r="EB49" s="228"/>
      <c r="EC49" s="228"/>
      <c r="ED49" s="228"/>
      <c r="EE49" s="228"/>
      <c r="EF49" s="228"/>
      <c r="EG49" s="228"/>
      <c r="EH49" s="228"/>
      <c r="EI49" s="228"/>
      <c r="EJ49" s="228"/>
      <c r="EK49" s="228"/>
      <c r="EL49" s="228"/>
      <c r="EM49" s="228"/>
      <c r="EN49" s="228"/>
      <c r="EO49" s="228"/>
      <c r="EP49" s="228"/>
      <c r="EQ49" s="228"/>
      <c r="ER49" s="228"/>
      <c r="ES49" s="228"/>
      <c r="ET49" s="228"/>
      <c r="EU49" s="228"/>
      <c r="EV49" s="228"/>
      <c r="EW49" s="228"/>
      <c r="EX49" s="228"/>
      <c r="EY49" s="228"/>
      <c r="EZ49" s="228"/>
      <c r="FA49" s="228"/>
      <c r="FB49" s="228"/>
      <c r="FC49" s="228"/>
      <c r="FD49" s="228"/>
      <c r="FE49" s="228"/>
      <c r="FF49" s="228"/>
      <c r="FG49" s="228"/>
      <c r="FH49" s="228"/>
      <c r="FI49" s="228"/>
      <c r="FJ49" s="228"/>
      <c r="FK49" s="228"/>
      <c r="FL49" s="228"/>
      <c r="FM49" s="228"/>
      <c r="FN49" s="228"/>
      <c r="FO49" s="228"/>
      <c r="FP49" s="228"/>
      <c r="FQ49" s="228"/>
      <c r="FR49" s="228"/>
      <c r="FS49" s="228"/>
      <c r="FT49" s="228"/>
      <c r="FU49" s="228"/>
      <c r="FV49" s="228"/>
      <c r="FW49" s="228"/>
      <c r="FX49" s="228"/>
      <c r="FY49" s="228"/>
      <c r="FZ49" s="228"/>
      <c r="GA49" s="228"/>
      <c r="GB49" s="228"/>
      <c r="GC49" s="228"/>
      <c r="GD49" s="228"/>
      <c r="GE49" s="228"/>
      <c r="GF49" s="228"/>
      <c r="GG49" s="228"/>
      <c r="GH49" s="228"/>
      <c r="GI49" s="228"/>
      <c r="GJ49" s="228"/>
      <c r="GK49" s="228"/>
      <c r="GL49" s="228"/>
      <c r="GM49" s="228"/>
      <c r="GN49" s="228"/>
      <c r="GO49" s="228"/>
      <c r="GP49" s="228"/>
      <c r="GQ49" s="228"/>
      <c r="GR49" s="228"/>
      <c r="GS49" s="228"/>
      <c r="GT49" s="228"/>
      <c r="GU49" s="228"/>
      <c r="GV49" s="228"/>
      <c r="GW49" s="228"/>
      <c r="GX49" s="228"/>
      <c r="GY49" s="228"/>
      <c r="GZ49" s="228"/>
      <c r="HA49" s="228"/>
      <c r="HB49" s="228"/>
      <c r="HC49" s="228"/>
      <c r="HD49" s="228"/>
      <c r="HE49" s="228"/>
      <c r="HF49" s="228"/>
      <c r="HG49" s="228"/>
      <c r="HH49" s="228"/>
      <c r="HI49" s="228"/>
      <c r="HJ49" s="228"/>
      <c r="HK49" s="228"/>
      <c r="HL49" s="228"/>
      <c r="HM49" s="228"/>
      <c r="HN49" s="228"/>
      <c r="HO49" s="228"/>
      <c r="HP49" s="228"/>
      <c r="HQ49" s="228"/>
      <c r="HR49" s="228"/>
      <c r="HS49" s="228"/>
      <c r="HT49" s="228"/>
      <c r="HU49" s="228"/>
      <c r="HV49" s="228"/>
      <c r="HW49" s="228"/>
      <c r="HX49" s="228"/>
      <c r="HY49" s="228"/>
      <c r="HZ49" s="228"/>
      <c r="IA49" s="228"/>
      <c r="IB49" s="228"/>
      <c r="IC49" s="228"/>
      <c r="ID49" s="228"/>
      <c r="IE49" s="228"/>
      <c r="IF49" s="228"/>
      <c r="IG49" s="228"/>
      <c r="IH49" s="228"/>
      <c r="II49" s="228"/>
      <c r="IJ49" s="228"/>
      <c r="IK49" s="228"/>
      <c r="IL49" s="228"/>
      <c r="IM49" s="228"/>
      <c r="IN49" s="228"/>
      <c r="IO49" s="228"/>
      <c r="IP49" s="228"/>
      <c r="IQ49" s="228"/>
      <c r="IR49" s="228"/>
      <c r="IS49" s="228"/>
      <c r="IT49" s="228"/>
      <c r="IU49" s="228"/>
      <c r="IV49" s="228"/>
      <c r="IW49" s="228"/>
      <c r="IX49" s="228"/>
      <c r="IY49" s="228"/>
      <c r="IZ49" s="228"/>
      <c r="JA49" s="228"/>
      <c r="JB49" s="228"/>
      <c r="JC49" s="228"/>
      <c r="JD49" s="228"/>
      <c r="JE49" s="228"/>
      <c r="JF49" s="228"/>
      <c r="JG49" s="228"/>
      <c r="JH49" s="228"/>
      <c r="JI49" s="228"/>
      <c r="JJ49" s="228"/>
      <c r="JK49" s="228"/>
      <c r="JL49" s="228"/>
      <c r="JM49" s="228"/>
      <c r="JN49" s="228"/>
      <c r="JO49" s="228"/>
      <c r="JP49" s="228"/>
      <c r="JQ49" s="228"/>
      <c r="JR49" s="228"/>
      <c r="JS49" s="228"/>
      <c r="JT49" s="228"/>
      <c r="JU49" s="228"/>
      <c r="JV49" s="228"/>
      <c r="JW49" s="228"/>
      <c r="JX49" s="228"/>
      <c r="JY49" s="228"/>
      <c r="JZ49" s="228"/>
      <c r="KA49" s="228"/>
      <c r="KB49" s="228"/>
      <c r="KC49" s="228"/>
      <c r="KD49" s="228"/>
      <c r="KE49" s="228"/>
      <c r="KF49" s="228"/>
      <c r="KG49" s="228"/>
      <c r="KH49" s="228"/>
      <c r="KI49" s="228"/>
      <c r="KJ49" s="228"/>
      <c r="KK49" s="228"/>
      <c r="KL49" s="228"/>
      <c r="KM49" s="228"/>
      <c r="KN49" s="228"/>
      <c r="KO49" s="228"/>
      <c r="KP49" s="228"/>
      <c r="KQ49" s="228"/>
      <c r="KR49" s="228"/>
      <c r="KS49" s="228"/>
      <c r="KT49" s="228"/>
      <c r="KU49" s="228"/>
      <c r="KV49" s="228"/>
      <c r="KW49" s="228"/>
      <c r="KX49" s="228"/>
      <c r="KY49" s="228"/>
      <c r="KZ49" s="228"/>
      <c r="LA49" s="228"/>
      <c r="LB49" s="228"/>
      <c r="LC49" s="228"/>
      <c r="LD49" s="228"/>
      <c r="LE49" s="228"/>
      <c r="LF49" s="228"/>
      <c r="LG49" s="228"/>
      <c r="LH49" s="228"/>
      <c r="LI49" s="228"/>
      <c r="LJ49" s="228"/>
      <c r="LK49" s="228"/>
      <c r="LL49" s="228"/>
      <c r="LM49" s="228"/>
      <c r="LN49" s="228"/>
      <c r="LO49" s="228"/>
      <c r="LP49" s="228"/>
      <c r="LQ49" s="228"/>
      <c r="LR49" s="228"/>
      <c r="LS49" s="228"/>
      <c r="LT49" s="228"/>
      <c r="LU49" s="228"/>
      <c r="LV49" s="228"/>
      <c r="LW49" s="228"/>
      <c r="LX49" s="228"/>
      <c r="LY49" s="228"/>
      <c r="LZ49" s="228"/>
      <c r="MA49" s="228"/>
      <c r="MB49" s="228"/>
      <c r="MC49" s="228"/>
      <c r="MD49" s="228"/>
      <c r="ME49" s="228"/>
      <c r="MF49" s="228"/>
      <c r="MG49" s="228"/>
      <c r="MH49" s="228"/>
      <c r="MI49" s="228"/>
      <c r="MJ49" s="228"/>
      <c r="MK49" s="228"/>
      <c r="ML49" s="228"/>
      <c r="MM49" s="228"/>
      <c r="MN49" s="228"/>
      <c r="MO49" s="228"/>
      <c r="MP49" s="228"/>
      <c r="MQ49" s="228"/>
      <c r="MR49" s="228"/>
      <c r="MS49" s="228"/>
      <c r="MT49" s="228"/>
      <c r="MU49" s="228"/>
      <c r="MV49" s="228"/>
      <c r="MW49" s="228"/>
      <c r="MX49" s="228"/>
      <c r="MY49" s="228"/>
      <c r="MZ49" s="228"/>
      <c r="NA49" s="228"/>
      <c r="NB49" s="228"/>
      <c r="NC49" s="228"/>
      <c r="ND49" s="228"/>
      <c r="NE49" s="228"/>
      <c r="NF49" s="228"/>
      <c r="NG49" s="228"/>
      <c r="NH49" s="228"/>
      <c r="NI49" s="228"/>
      <c r="NJ49" s="228"/>
      <c r="NK49" s="228"/>
      <c r="NL49" s="228"/>
      <c r="NM49" s="228"/>
      <c r="NN49" s="228"/>
      <c r="NO49" s="228"/>
      <c r="NP49" s="228"/>
      <c r="NQ49" s="228"/>
      <c r="NR49" s="228"/>
      <c r="NS49" s="228"/>
      <c r="NT49" s="228"/>
      <c r="NU49" s="228"/>
      <c r="NV49" s="228"/>
      <c r="NW49" s="228"/>
      <c r="NX49" s="228"/>
      <c r="NY49" s="228"/>
      <c r="NZ49" s="228"/>
      <c r="OA49" s="228"/>
      <c r="OB49" s="228"/>
      <c r="OC49" s="228"/>
      <c r="OD49" s="228"/>
      <c r="OE49" s="228"/>
      <c r="OF49" s="228"/>
      <c r="OG49" s="228"/>
      <c r="OH49" s="228"/>
      <c r="OI49" s="228"/>
      <c r="OJ49" s="228"/>
      <c r="OK49" s="228"/>
      <c r="OL49" s="228"/>
      <c r="OM49" s="228"/>
      <c r="ON49" s="228"/>
      <c r="OO49" s="228"/>
      <c r="OP49" s="228"/>
      <c r="OQ49" s="228"/>
      <c r="OR49" s="228"/>
      <c r="OS49" s="228"/>
      <c r="OT49" s="228"/>
      <c r="OU49" s="228"/>
      <c r="OV49" s="228"/>
      <c r="OW49" s="228"/>
      <c r="OX49" s="228"/>
      <c r="OY49" s="228"/>
      <c r="OZ49" s="228"/>
      <c r="PA49" s="228"/>
      <c r="PB49" s="228"/>
      <c r="PC49" s="228"/>
      <c r="PD49" s="228"/>
      <c r="PE49" s="228"/>
      <c r="PF49" s="228"/>
      <c r="PG49" s="228"/>
      <c r="PH49" s="228"/>
      <c r="PI49" s="228"/>
      <c r="PJ49" s="228"/>
      <c r="PK49" s="228"/>
      <c r="PL49" s="228"/>
      <c r="PM49" s="228"/>
      <c r="PN49" s="228"/>
      <c r="PO49" s="228"/>
      <c r="PP49" s="228"/>
      <c r="PQ49" s="228"/>
      <c r="PR49" s="228"/>
      <c r="PS49" s="228"/>
      <c r="PT49" s="228"/>
      <c r="PU49" s="228"/>
      <c r="PV49" s="228"/>
      <c r="PW49" s="228"/>
      <c r="PX49" s="228"/>
      <c r="PY49" s="228"/>
      <c r="PZ49" s="228"/>
      <c r="QA49" s="228"/>
      <c r="QB49" s="228"/>
      <c r="QC49" s="228"/>
      <c r="QD49" s="228"/>
      <c r="QE49" s="228"/>
      <c r="QF49" s="228"/>
      <c r="QG49" s="228"/>
      <c r="QH49" s="228"/>
      <c r="QI49" s="228"/>
      <c r="QJ49" s="228"/>
      <c r="QK49" s="228"/>
      <c r="QL49" s="228"/>
      <c r="QM49" s="228"/>
      <c r="QN49" s="228"/>
      <c r="QO49" s="228"/>
      <c r="QP49" s="228"/>
      <c r="QQ49" s="228"/>
      <c r="QR49" s="228"/>
      <c r="QS49" s="228"/>
      <c r="QT49" s="228"/>
      <c r="QU49" s="228"/>
      <c r="QV49" s="228"/>
      <c r="QW49" s="228"/>
      <c r="QX49" s="228"/>
      <c r="QY49" s="228"/>
      <c r="QZ49" s="228"/>
      <c r="RA49" s="228"/>
      <c r="RB49" s="228"/>
      <c r="RC49" s="228"/>
      <c r="RD49" s="228"/>
      <c r="RE49" s="228"/>
      <c r="RF49" s="228"/>
      <c r="RG49" s="228"/>
      <c r="RH49" s="228"/>
      <c r="RI49" s="228"/>
      <c r="RJ49" s="228"/>
      <c r="RK49" s="228"/>
      <c r="RL49" s="228"/>
      <c r="RM49" s="228"/>
      <c r="RN49" s="228"/>
      <c r="RO49" s="228"/>
      <c r="RP49" s="228"/>
      <c r="RQ49" s="228"/>
      <c r="RR49" s="228"/>
      <c r="RS49" s="228"/>
      <c r="RT49" s="228"/>
      <c r="RU49" s="228"/>
      <c r="RV49" s="228"/>
      <c r="RW49" s="228"/>
      <c r="RX49" s="228"/>
      <c r="RY49" s="228"/>
      <c r="RZ49" s="228"/>
      <c r="SA49" s="228"/>
      <c r="SB49" s="228"/>
      <c r="SC49" s="228"/>
      <c r="SD49" s="228"/>
      <c r="SE49" s="228"/>
      <c r="SF49" s="228"/>
      <c r="SG49" s="228"/>
      <c r="SH49" s="228"/>
      <c r="SI49" s="228"/>
      <c r="SJ49" s="228"/>
      <c r="SK49" s="228"/>
      <c r="SL49" s="228"/>
      <c r="SM49" s="228"/>
      <c r="SN49" s="228"/>
      <c r="SO49" s="228"/>
      <c r="SP49" s="228"/>
      <c r="SQ49" s="228"/>
      <c r="SR49" s="228"/>
      <c r="SS49" s="228"/>
      <c r="ST49" s="228"/>
      <c r="SU49" s="228"/>
      <c r="SV49" s="228"/>
      <c r="SW49" s="228"/>
      <c r="SX49" s="228"/>
      <c r="SY49" s="228"/>
      <c r="SZ49" s="228"/>
      <c r="TA49" s="228"/>
      <c r="TB49" s="228"/>
      <c r="TC49" s="228"/>
      <c r="TD49" s="228"/>
      <c r="TE49" s="228"/>
      <c r="TF49" s="228"/>
      <c r="TG49" s="228"/>
      <c r="TH49" s="228"/>
      <c r="TI49" s="228"/>
      <c r="TJ49" s="228"/>
      <c r="TK49" s="228"/>
      <c r="TL49" s="228"/>
      <c r="TM49" s="228"/>
      <c r="TN49" s="228"/>
      <c r="TO49" s="228"/>
      <c r="TP49" s="228"/>
      <c r="TQ49" s="228"/>
      <c r="TR49" s="228"/>
      <c r="TS49" s="228"/>
      <c r="TT49" s="228"/>
      <c r="TU49" s="228"/>
    </row>
    <row r="50" spans="1:541" s="240" customFormat="1" outlineLevel="1" x14ac:dyDescent="0.25">
      <c r="A50" s="262">
        <v>1</v>
      </c>
      <c r="B50" s="263" t="s">
        <v>505</v>
      </c>
      <c r="C50" s="221" t="s">
        <v>29</v>
      </c>
      <c r="D50" s="221" t="s">
        <v>1168</v>
      </c>
      <c r="E50" s="221" t="s">
        <v>803</v>
      </c>
      <c r="F50" s="264" t="s">
        <v>0</v>
      </c>
      <c r="G50" s="264" t="s">
        <v>1169</v>
      </c>
      <c r="H50" s="264" t="s">
        <v>1166</v>
      </c>
      <c r="I50" s="265">
        <v>44258</v>
      </c>
      <c r="J50" s="265">
        <v>44622</v>
      </c>
      <c r="K50" s="264" t="s">
        <v>695</v>
      </c>
      <c r="L50" s="264" t="s">
        <v>695</v>
      </c>
      <c r="M50" s="216" t="s">
        <v>365</v>
      </c>
      <c r="N50" s="221" t="s">
        <v>1159</v>
      </c>
      <c r="O50" s="221" t="s">
        <v>1160</v>
      </c>
      <c r="P50" s="221" t="s">
        <v>1156</v>
      </c>
      <c r="Q50" s="266" t="s">
        <v>1343</v>
      </c>
    </row>
    <row r="51" spans="1:541" s="240" customFormat="1" outlineLevel="1" x14ac:dyDescent="0.25">
      <c r="A51" s="232">
        <f t="shared" ref="A51:A64" si="0">A50+1</f>
        <v>2</v>
      </c>
      <c r="B51" s="193" t="s">
        <v>505</v>
      </c>
      <c r="C51" s="5" t="s">
        <v>29</v>
      </c>
      <c r="D51" s="5" t="s">
        <v>509</v>
      </c>
      <c r="E51" s="5" t="s">
        <v>803</v>
      </c>
      <c r="F51" s="213" t="s">
        <v>0</v>
      </c>
      <c r="G51" s="213" t="s">
        <v>1169</v>
      </c>
      <c r="H51" s="213" t="s">
        <v>1166</v>
      </c>
      <c r="I51" s="250" t="s">
        <v>1304</v>
      </c>
      <c r="J51" s="250" t="s">
        <v>1305</v>
      </c>
      <c r="K51" s="213" t="s">
        <v>695</v>
      </c>
      <c r="L51" s="213" t="s">
        <v>695</v>
      </c>
      <c r="M51" s="213" t="s">
        <v>365</v>
      </c>
      <c r="N51" s="5" t="s">
        <v>1159</v>
      </c>
      <c r="O51" s="5" t="s">
        <v>1160</v>
      </c>
      <c r="P51" s="5" t="s">
        <v>1156</v>
      </c>
      <c r="Q51" s="234" t="s">
        <v>1328</v>
      </c>
    </row>
    <row r="52" spans="1:541" s="240" customFormat="1" outlineLevel="1" x14ac:dyDescent="0.25">
      <c r="A52" s="232">
        <f t="shared" si="0"/>
        <v>3</v>
      </c>
      <c r="B52" s="193" t="s">
        <v>505</v>
      </c>
      <c r="C52" s="5" t="s">
        <v>29</v>
      </c>
      <c r="D52" s="5" t="s">
        <v>511</v>
      </c>
      <c r="E52" s="5" t="s">
        <v>803</v>
      </c>
      <c r="F52" s="213" t="s">
        <v>0</v>
      </c>
      <c r="G52" s="213" t="s">
        <v>1169</v>
      </c>
      <c r="H52" s="213" t="s">
        <v>1166</v>
      </c>
      <c r="I52" s="250" t="s">
        <v>1304</v>
      </c>
      <c r="J52" s="250" t="s">
        <v>1305</v>
      </c>
      <c r="K52" s="213" t="s">
        <v>695</v>
      </c>
      <c r="L52" s="213" t="s">
        <v>695</v>
      </c>
      <c r="M52" s="213" t="s">
        <v>365</v>
      </c>
      <c r="N52" s="5" t="s">
        <v>1159</v>
      </c>
      <c r="O52" s="5" t="s">
        <v>1160</v>
      </c>
      <c r="P52" s="5" t="s">
        <v>1156</v>
      </c>
      <c r="Q52" s="234" t="s">
        <v>1328</v>
      </c>
    </row>
    <row r="53" spans="1:541" s="240" customFormat="1" outlineLevel="1" x14ac:dyDescent="0.25">
      <c r="A53" s="232">
        <f t="shared" si="0"/>
        <v>4</v>
      </c>
      <c r="B53" s="193" t="s">
        <v>505</v>
      </c>
      <c r="C53" s="5" t="s">
        <v>29</v>
      </c>
      <c r="D53" s="5" t="s">
        <v>509</v>
      </c>
      <c r="E53" s="5" t="s">
        <v>803</v>
      </c>
      <c r="F53" s="213" t="s">
        <v>0</v>
      </c>
      <c r="G53" s="213" t="s">
        <v>1169</v>
      </c>
      <c r="H53" s="213" t="s">
        <v>1166</v>
      </c>
      <c r="I53" s="250" t="s">
        <v>1304</v>
      </c>
      <c r="J53" s="250" t="s">
        <v>1305</v>
      </c>
      <c r="K53" s="213" t="s">
        <v>695</v>
      </c>
      <c r="L53" s="213" t="s">
        <v>695</v>
      </c>
      <c r="M53" s="213" t="s">
        <v>365</v>
      </c>
      <c r="N53" s="5" t="s">
        <v>1159</v>
      </c>
      <c r="O53" s="5" t="s">
        <v>1160</v>
      </c>
      <c r="P53" s="5" t="s">
        <v>1156</v>
      </c>
      <c r="Q53" s="234" t="s">
        <v>1328</v>
      </c>
    </row>
    <row r="54" spans="1:541" s="240" customFormat="1" outlineLevel="1" x14ac:dyDescent="0.25">
      <c r="A54" s="232">
        <f t="shared" si="0"/>
        <v>5</v>
      </c>
      <c r="B54" s="193" t="s">
        <v>505</v>
      </c>
      <c r="C54" s="5" t="s">
        <v>29</v>
      </c>
      <c r="D54" s="5" t="s">
        <v>514</v>
      </c>
      <c r="E54" s="5" t="s">
        <v>803</v>
      </c>
      <c r="F54" s="213" t="s">
        <v>0</v>
      </c>
      <c r="G54" s="213" t="s">
        <v>1169</v>
      </c>
      <c r="H54" s="213" t="s">
        <v>1166</v>
      </c>
      <c r="I54" s="250" t="s">
        <v>1304</v>
      </c>
      <c r="J54" s="250" t="s">
        <v>1305</v>
      </c>
      <c r="K54" s="213" t="s">
        <v>695</v>
      </c>
      <c r="L54" s="213" t="s">
        <v>695</v>
      </c>
      <c r="M54" s="213" t="s">
        <v>365</v>
      </c>
      <c r="N54" s="5" t="s">
        <v>1159</v>
      </c>
      <c r="O54" s="5" t="s">
        <v>1160</v>
      </c>
      <c r="P54" s="5" t="s">
        <v>1156</v>
      </c>
      <c r="Q54" s="234" t="s">
        <v>1328</v>
      </c>
    </row>
    <row r="55" spans="1:541" s="240" customFormat="1" outlineLevel="1" x14ac:dyDescent="0.25">
      <c r="A55" s="232">
        <f t="shared" si="0"/>
        <v>6</v>
      </c>
      <c r="B55" s="193" t="s">
        <v>505</v>
      </c>
      <c r="C55" s="5" t="s">
        <v>29</v>
      </c>
      <c r="D55" s="5" t="s">
        <v>515</v>
      </c>
      <c r="E55" s="5" t="s">
        <v>803</v>
      </c>
      <c r="F55" s="213" t="s">
        <v>0</v>
      </c>
      <c r="G55" s="213" t="s">
        <v>1169</v>
      </c>
      <c r="H55" s="213" t="s">
        <v>1166</v>
      </c>
      <c r="I55" s="250" t="s">
        <v>1304</v>
      </c>
      <c r="J55" s="250" t="s">
        <v>1305</v>
      </c>
      <c r="K55" s="213" t="s">
        <v>695</v>
      </c>
      <c r="L55" s="213" t="s">
        <v>695</v>
      </c>
      <c r="M55" s="213" t="s">
        <v>365</v>
      </c>
      <c r="N55" s="5" t="s">
        <v>1159</v>
      </c>
      <c r="O55" s="5" t="s">
        <v>1160</v>
      </c>
      <c r="P55" s="5" t="s">
        <v>1156</v>
      </c>
      <c r="Q55" s="234" t="s">
        <v>1328</v>
      </c>
    </row>
    <row r="56" spans="1:541" s="240" customFormat="1" outlineLevel="1" x14ac:dyDescent="0.25">
      <c r="A56" s="232">
        <f t="shared" si="0"/>
        <v>7</v>
      </c>
      <c r="B56" s="193" t="s">
        <v>505</v>
      </c>
      <c r="C56" s="5" t="s">
        <v>29</v>
      </c>
      <c r="D56" s="5" t="s">
        <v>516</v>
      </c>
      <c r="E56" s="5" t="s">
        <v>803</v>
      </c>
      <c r="F56" s="213" t="s">
        <v>0</v>
      </c>
      <c r="G56" s="213" t="s">
        <v>1169</v>
      </c>
      <c r="H56" s="213" t="s">
        <v>1166</v>
      </c>
      <c r="I56" s="250" t="s">
        <v>1304</v>
      </c>
      <c r="J56" s="250" t="s">
        <v>1305</v>
      </c>
      <c r="K56" s="213" t="s">
        <v>695</v>
      </c>
      <c r="L56" s="213" t="s">
        <v>695</v>
      </c>
      <c r="M56" s="213" t="s">
        <v>365</v>
      </c>
      <c r="N56" s="5" t="s">
        <v>1159</v>
      </c>
      <c r="O56" s="5" t="s">
        <v>1160</v>
      </c>
      <c r="P56" s="5" t="s">
        <v>1156</v>
      </c>
      <c r="Q56" s="234" t="s">
        <v>1328</v>
      </c>
    </row>
    <row r="57" spans="1:541" s="240" customFormat="1" outlineLevel="1" x14ac:dyDescent="0.25">
      <c r="A57" s="232">
        <f t="shared" si="0"/>
        <v>8</v>
      </c>
      <c r="B57" s="193" t="s">
        <v>505</v>
      </c>
      <c r="C57" s="5" t="s">
        <v>29</v>
      </c>
      <c r="D57" s="5" t="s">
        <v>1104</v>
      </c>
      <c r="E57" s="5" t="s">
        <v>803</v>
      </c>
      <c r="F57" s="213" t="s">
        <v>0</v>
      </c>
      <c r="G57" s="213" t="s">
        <v>1169</v>
      </c>
      <c r="H57" s="213" t="s">
        <v>1166</v>
      </c>
      <c r="I57" s="250" t="s">
        <v>1304</v>
      </c>
      <c r="J57" s="250" t="s">
        <v>1305</v>
      </c>
      <c r="K57" s="213" t="s">
        <v>695</v>
      </c>
      <c r="L57" s="213" t="s">
        <v>695</v>
      </c>
      <c r="M57" s="213" t="s">
        <v>365</v>
      </c>
      <c r="N57" s="5" t="s">
        <v>1159</v>
      </c>
      <c r="O57" s="5" t="s">
        <v>1160</v>
      </c>
      <c r="P57" s="5" t="s">
        <v>1156</v>
      </c>
      <c r="Q57" s="234" t="s">
        <v>1328</v>
      </c>
    </row>
    <row r="58" spans="1:541" s="240" customFormat="1" outlineLevel="1" x14ac:dyDescent="0.25">
      <c r="A58" s="232">
        <f t="shared" si="0"/>
        <v>9</v>
      </c>
      <c r="B58" s="193" t="s">
        <v>505</v>
      </c>
      <c r="C58" s="5" t="s">
        <v>29</v>
      </c>
      <c r="D58" s="5" t="s">
        <v>519</v>
      </c>
      <c r="E58" s="5" t="s">
        <v>803</v>
      </c>
      <c r="F58" s="213" t="s">
        <v>0</v>
      </c>
      <c r="G58" s="213" t="s">
        <v>1169</v>
      </c>
      <c r="H58" s="213" t="s">
        <v>1166</v>
      </c>
      <c r="I58" s="250" t="s">
        <v>1304</v>
      </c>
      <c r="J58" s="250" t="s">
        <v>1305</v>
      </c>
      <c r="K58" s="213" t="s">
        <v>695</v>
      </c>
      <c r="L58" s="213" t="s">
        <v>695</v>
      </c>
      <c r="M58" s="213" t="s">
        <v>365</v>
      </c>
      <c r="N58" s="5" t="s">
        <v>1159</v>
      </c>
      <c r="O58" s="5" t="s">
        <v>1160</v>
      </c>
      <c r="P58" s="5" t="s">
        <v>1156</v>
      </c>
      <c r="Q58" s="234" t="s">
        <v>1328</v>
      </c>
    </row>
    <row r="59" spans="1:541" s="240" customFormat="1" outlineLevel="1" x14ac:dyDescent="0.25">
      <c r="A59" s="232">
        <f t="shared" si="0"/>
        <v>10</v>
      </c>
      <c r="B59" s="193" t="s">
        <v>505</v>
      </c>
      <c r="C59" s="5" t="s">
        <v>29</v>
      </c>
      <c r="D59" s="5" t="s">
        <v>521</v>
      </c>
      <c r="E59" s="5" t="s">
        <v>803</v>
      </c>
      <c r="F59" s="213" t="s">
        <v>0</v>
      </c>
      <c r="G59" s="213" t="s">
        <v>1169</v>
      </c>
      <c r="H59" s="213" t="s">
        <v>1166</v>
      </c>
      <c r="I59" s="250" t="s">
        <v>1304</v>
      </c>
      <c r="J59" s="250" t="s">
        <v>1305</v>
      </c>
      <c r="K59" s="213" t="s">
        <v>695</v>
      </c>
      <c r="L59" s="213" t="s">
        <v>695</v>
      </c>
      <c r="M59" s="213" t="s">
        <v>365</v>
      </c>
      <c r="N59" s="5" t="s">
        <v>1159</v>
      </c>
      <c r="O59" s="5" t="s">
        <v>1160</v>
      </c>
      <c r="P59" s="5" t="s">
        <v>1156</v>
      </c>
      <c r="Q59" s="234" t="s">
        <v>1328</v>
      </c>
    </row>
    <row r="60" spans="1:541" s="240" customFormat="1" outlineLevel="1" x14ac:dyDescent="0.25">
      <c r="A60" s="232">
        <f t="shared" si="0"/>
        <v>11</v>
      </c>
      <c r="B60" s="193" t="s">
        <v>505</v>
      </c>
      <c r="C60" s="5" t="s">
        <v>29</v>
      </c>
      <c r="D60" s="5" t="s">
        <v>523</v>
      </c>
      <c r="E60" s="5" t="s">
        <v>803</v>
      </c>
      <c r="F60" s="213" t="s">
        <v>0</v>
      </c>
      <c r="G60" s="213" t="s">
        <v>1169</v>
      </c>
      <c r="H60" s="213" t="s">
        <v>1166</v>
      </c>
      <c r="I60" s="250" t="s">
        <v>1304</v>
      </c>
      <c r="J60" s="250" t="s">
        <v>1305</v>
      </c>
      <c r="K60" s="213" t="s">
        <v>695</v>
      </c>
      <c r="L60" s="213" t="s">
        <v>695</v>
      </c>
      <c r="M60" s="213" t="s">
        <v>365</v>
      </c>
      <c r="N60" s="5" t="s">
        <v>1159</v>
      </c>
      <c r="O60" s="5" t="s">
        <v>1160</v>
      </c>
      <c r="P60" s="5" t="s">
        <v>1156</v>
      </c>
      <c r="Q60" s="234" t="s">
        <v>1328</v>
      </c>
    </row>
    <row r="61" spans="1:541" s="240" customFormat="1" outlineLevel="1" x14ac:dyDescent="0.25">
      <c r="A61" s="232">
        <f t="shared" si="0"/>
        <v>12</v>
      </c>
      <c r="B61" s="193" t="s">
        <v>505</v>
      </c>
      <c r="C61" s="5" t="s">
        <v>29</v>
      </c>
      <c r="D61" s="5" t="s">
        <v>525</v>
      </c>
      <c r="E61" s="5" t="s">
        <v>803</v>
      </c>
      <c r="F61" s="213" t="s">
        <v>0</v>
      </c>
      <c r="G61" s="213" t="s">
        <v>1169</v>
      </c>
      <c r="H61" s="213" t="s">
        <v>1166</v>
      </c>
      <c r="I61" s="250" t="s">
        <v>1304</v>
      </c>
      <c r="J61" s="250" t="s">
        <v>1305</v>
      </c>
      <c r="K61" s="213" t="s">
        <v>695</v>
      </c>
      <c r="L61" s="213" t="s">
        <v>695</v>
      </c>
      <c r="M61" s="213" t="s">
        <v>365</v>
      </c>
      <c r="N61" s="5" t="s">
        <v>1159</v>
      </c>
      <c r="O61" s="5" t="s">
        <v>1160</v>
      </c>
      <c r="P61" s="5" t="s">
        <v>1156</v>
      </c>
      <c r="Q61" s="234" t="s">
        <v>1328</v>
      </c>
    </row>
    <row r="62" spans="1:541" s="240" customFormat="1" outlineLevel="1" x14ac:dyDescent="0.25">
      <c r="A62" s="232">
        <f t="shared" si="0"/>
        <v>13</v>
      </c>
      <c r="B62" s="193" t="s">
        <v>505</v>
      </c>
      <c r="C62" s="5" t="s">
        <v>29</v>
      </c>
      <c r="D62" s="5" t="s">
        <v>527</v>
      </c>
      <c r="E62" s="5" t="s">
        <v>803</v>
      </c>
      <c r="F62" s="213" t="s">
        <v>0</v>
      </c>
      <c r="G62" s="213" t="s">
        <v>1169</v>
      </c>
      <c r="H62" s="213" t="s">
        <v>1166</v>
      </c>
      <c r="I62" s="250" t="s">
        <v>1304</v>
      </c>
      <c r="J62" s="250" t="s">
        <v>1305</v>
      </c>
      <c r="K62" s="213" t="s">
        <v>695</v>
      </c>
      <c r="L62" s="213" t="s">
        <v>695</v>
      </c>
      <c r="M62" s="213" t="s">
        <v>365</v>
      </c>
      <c r="N62" s="5" t="s">
        <v>1159</v>
      </c>
      <c r="O62" s="5" t="s">
        <v>1160</v>
      </c>
      <c r="P62" s="5" t="s">
        <v>1156</v>
      </c>
      <c r="Q62" s="234" t="s">
        <v>1328</v>
      </c>
    </row>
    <row r="63" spans="1:541" s="240" customFormat="1" outlineLevel="1" x14ac:dyDescent="0.25">
      <c r="A63" s="232">
        <f t="shared" si="0"/>
        <v>14</v>
      </c>
      <c r="B63" s="193" t="s">
        <v>505</v>
      </c>
      <c r="C63" s="5" t="s">
        <v>29</v>
      </c>
      <c r="D63" s="5" t="s">
        <v>529</v>
      </c>
      <c r="E63" s="5" t="s">
        <v>803</v>
      </c>
      <c r="F63" s="213" t="s">
        <v>0</v>
      </c>
      <c r="G63" s="213" t="s">
        <v>1169</v>
      </c>
      <c r="H63" s="213" t="s">
        <v>1166</v>
      </c>
      <c r="I63" s="250" t="s">
        <v>1304</v>
      </c>
      <c r="J63" s="250" t="s">
        <v>1305</v>
      </c>
      <c r="K63" s="213" t="s">
        <v>695</v>
      </c>
      <c r="L63" s="213" t="s">
        <v>695</v>
      </c>
      <c r="M63" s="213" t="s">
        <v>365</v>
      </c>
      <c r="N63" s="5" t="s">
        <v>1159</v>
      </c>
      <c r="O63" s="5" t="s">
        <v>1160</v>
      </c>
      <c r="P63" s="5" t="s">
        <v>1156</v>
      </c>
      <c r="Q63" s="234" t="s">
        <v>1328</v>
      </c>
    </row>
    <row r="64" spans="1:541" s="240" customFormat="1" outlineLevel="1" x14ac:dyDescent="0.25">
      <c r="A64" s="330">
        <f t="shared" si="0"/>
        <v>15</v>
      </c>
      <c r="B64" s="331" t="s">
        <v>505</v>
      </c>
      <c r="C64" s="332" t="s">
        <v>29</v>
      </c>
      <c r="D64" s="5" t="s">
        <v>1105</v>
      </c>
      <c r="E64" s="5" t="s">
        <v>803</v>
      </c>
      <c r="F64" s="213" t="s">
        <v>0</v>
      </c>
      <c r="G64" s="213" t="s">
        <v>1169</v>
      </c>
      <c r="H64" s="213" t="s">
        <v>1166</v>
      </c>
      <c r="I64" s="250" t="s">
        <v>1304</v>
      </c>
      <c r="J64" s="250" t="s">
        <v>1305</v>
      </c>
      <c r="K64" s="213" t="s">
        <v>695</v>
      </c>
      <c r="L64" s="213" t="s">
        <v>695</v>
      </c>
      <c r="M64" s="213" t="s">
        <v>365</v>
      </c>
      <c r="N64" s="5" t="s">
        <v>1159</v>
      </c>
      <c r="O64" s="5" t="s">
        <v>1160</v>
      </c>
      <c r="P64" s="5" t="s">
        <v>1156</v>
      </c>
      <c r="Q64" s="234" t="s">
        <v>1328</v>
      </c>
    </row>
    <row r="65" spans="1:541" s="240" customFormat="1" ht="15.75" outlineLevel="1" thickBot="1" x14ac:dyDescent="0.3">
      <c r="A65" s="241">
        <v>16</v>
      </c>
      <c r="B65" s="194" t="s">
        <v>505</v>
      </c>
      <c r="C65" s="209" t="s">
        <v>29</v>
      </c>
      <c r="D65" s="209" t="s">
        <v>530</v>
      </c>
      <c r="E65" s="209" t="s">
        <v>803</v>
      </c>
      <c r="F65" s="215" t="s">
        <v>0</v>
      </c>
      <c r="G65" s="215" t="s">
        <v>1169</v>
      </c>
      <c r="H65" s="215" t="s">
        <v>1166</v>
      </c>
      <c r="I65" s="333" t="s">
        <v>1304</v>
      </c>
      <c r="J65" s="333" t="s">
        <v>1305</v>
      </c>
      <c r="K65" s="215" t="s">
        <v>695</v>
      </c>
      <c r="L65" s="215" t="s">
        <v>695</v>
      </c>
      <c r="M65" s="215" t="s">
        <v>365</v>
      </c>
      <c r="N65" s="209" t="s">
        <v>1159</v>
      </c>
      <c r="O65" s="209" t="s">
        <v>1160</v>
      </c>
      <c r="P65" s="209" t="s">
        <v>1156</v>
      </c>
      <c r="Q65" s="242" t="s">
        <v>1328</v>
      </c>
    </row>
    <row r="66" spans="1:541" s="201" customFormat="1" ht="15.75" thickBot="1" x14ac:dyDescent="0.3">
      <c r="A66" s="279"/>
      <c r="B66" s="280"/>
      <c r="C66" s="253"/>
      <c r="D66" s="253"/>
      <c r="E66" s="253"/>
      <c r="F66" s="254"/>
      <c r="G66" s="254"/>
      <c r="H66" s="254"/>
      <c r="I66" s="253"/>
      <c r="J66" s="253"/>
      <c r="K66" s="253"/>
      <c r="L66" s="253"/>
      <c r="M66" s="254"/>
      <c r="N66" s="253"/>
      <c r="O66" s="253"/>
      <c r="P66" s="253"/>
      <c r="Q66" s="255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  <c r="AV66" s="228"/>
      <c r="AW66" s="228"/>
      <c r="AX66" s="228"/>
      <c r="AY66" s="228"/>
      <c r="AZ66" s="228"/>
      <c r="BA66" s="228"/>
      <c r="BB66" s="228"/>
      <c r="BC66" s="228"/>
      <c r="BD66" s="228"/>
      <c r="BE66" s="228"/>
      <c r="BF66" s="228"/>
      <c r="BG66" s="228"/>
      <c r="BH66" s="228"/>
      <c r="BI66" s="228"/>
      <c r="BJ66" s="228"/>
      <c r="BK66" s="228"/>
      <c r="BL66" s="228"/>
      <c r="BM66" s="228"/>
      <c r="BN66" s="228"/>
      <c r="BO66" s="228"/>
      <c r="BP66" s="228"/>
      <c r="BQ66" s="228"/>
      <c r="BR66" s="228"/>
      <c r="BS66" s="228"/>
      <c r="BT66" s="228"/>
      <c r="BU66" s="228"/>
      <c r="BV66" s="228"/>
      <c r="BW66" s="228"/>
      <c r="BX66" s="228"/>
      <c r="BY66" s="228"/>
      <c r="BZ66" s="228"/>
      <c r="CA66" s="228"/>
      <c r="CB66" s="228"/>
      <c r="CC66" s="228"/>
      <c r="CD66" s="228"/>
      <c r="CE66" s="228"/>
      <c r="CF66" s="228"/>
      <c r="CG66" s="228"/>
      <c r="CH66" s="228"/>
      <c r="CI66" s="228"/>
      <c r="CJ66" s="228"/>
      <c r="CK66" s="228"/>
      <c r="CL66" s="228"/>
      <c r="CM66" s="228"/>
      <c r="CN66" s="228"/>
      <c r="CO66" s="228"/>
      <c r="CP66" s="228"/>
      <c r="CQ66" s="228"/>
      <c r="CR66" s="228"/>
      <c r="CS66" s="228"/>
      <c r="CT66" s="228"/>
      <c r="CU66" s="228"/>
      <c r="CV66" s="228"/>
      <c r="CW66" s="228"/>
      <c r="CX66" s="228"/>
      <c r="CY66" s="228"/>
      <c r="CZ66" s="228"/>
      <c r="DA66" s="228"/>
      <c r="DB66" s="228"/>
      <c r="DC66" s="228"/>
      <c r="DD66" s="228"/>
      <c r="DE66" s="228"/>
      <c r="DF66" s="228"/>
      <c r="DG66" s="228"/>
      <c r="DH66" s="228"/>
      <c r="DI66" s="228"/>
      <c r="DJ66" s="228"/>
      <c r="DK66" s="228"/>
      <c r="DL66" s="228"/>
      <c r="DM66" s="228"/>
      <c r="DN66" s="228"/>
      <c r="DO66" s="228"/>
      <c r="DP66" s="228"/>
      <c r="DQ66" s="228"/>
      <c r="DR66" s="228"/>
      <c r="DS66" s="228"/>
      <c r="DT66" s="228"/>
      <c r="DU66" s="228"/>
      <c r="DV66" s="228"/>
      <c r="DW66" s="228"/>
      <c r="DX66" s="228"/>
      <c r="DY66" s="228"/>
      <c r="DZ66" s="228"/>
      <c r="EA66" s="228"/>
      <c r="EB66" s="228"/>
      <c r="EC66" s="228"/>
      <c r="ED66" s="228"/>
      <c r="EE66" s="228"/>
      <c r="EF66" s="228"/>
      <c r="EG66" s="228"/>
      <c r="EH66" s="228"/>
      <c r="EI66" s="228"/>
      <c r="EJ66" s="228"/>
      <c r="EK66" s="228"/>
      <c r="EL66" s="228"/>
      <c r="EM66" s="228"/>
      <c r="EN66" s="228"/>
      <c r="EO66" s="228"/>
      <c r="EP66" s="228"/>
      <c r="EQ66" s="228"/>
      <c r="ER66" s="228"/>
      <c r="ES66" s="228"/>
      <c r="ET66" s="228"/>
      <c r="EU66" s="228"/>
      <c r="EV66" s="228"/>
      <c r="EW66" s="228"/>
      <c r="EX66" s="228"/>
      <c r="EY66" s="228"/>
      <c r="EZ66" s="228"/>
      <c r="FA66" s="228"/>
      <c r="FB66" s="228"/>
      <c r="FC66" s="228"/>
      <c r="FD66" s="228"/>
      <c r="FE66" s="228"/>
      <c r="FF66" s="228"/>
      <c r="FG66" s="228"/>
      <c r="FH66" s="228"/>
      <c r="FI66" s="228"/>
      <c r="FJ66" s="228"/>
      <c r="FK66" s="228"/>
      <c r="FL66" s="228"/>
      <c r="FM66" s="228"/>
      <c r="FN66" s="228"/>
      <c r="FO66" s="228"/>
      <c r="FP66" s="228"/>
      <c r="FQ66" s="228"/>
      <c r="FR66" s="228"/>
      <c r="FS66" s="228"/>
      <c r="FT66" s="228"/>
      <c r="FU66" s="228"/>
      <c r="FV66" s="228"/>
      <c r="FW66" s="228"/>
      <c r="FX66" s="228"/>
      <c r="FY66" s="228"/>
      <c r="FZ66" s="228"/>
      <c r="GA66" s="228"/>
      <c r="GB66" s="228"/>
      <c r="GC66" s="228"/>
      <c r="GD66" s="228"/>
      <c r="GE66" s="228"/>
      <c r="GF66" s="228"/>
      <c r="GG66" s="228"/>
      <c r="GH66" s="228"/>
      <c r="GI66" s="228"/>
      <c r="GJ66" s="228"/>
      <c r="GK66" s="228"/>
      <c r="GL66" s="228"/>
      <c r="GM66" s="228"/>
      <c r="GN66" s="228"/>
      <c r="GO66" s="228"/>
      <c r="GP66" s="228"/>
      <c r="GQ66" s="228"/>
      <c r="GR66" s="228"/>
      <c r="GS66" s="228"/>
      <c r="GT66" s="228"/>
      <c r="GU66" s="228"/>
      <c r="GV66" s="228"/>
      <c r="GW66" s="228"/>
      <c r="GX66" s="228"/>
      <c r="GY66" s="228"/>
      <c r="GZ66" s="228"/>
      <c r="HA66" s="228"/>
      <c r="HB66" s="228"/>
      <c r="HC66" s="228"/>
      <c r="HD66" s="228"/>
      <c r="HE66" s="228"/>
      <c r="HF66" s="228"/>
      <c r="HG66" s="228"/>
      <c r="HH66" s="228"/>
      <c r="HI66" s="228"/>
      <c r="HJ66" s="228"/>
      <c r="HK66" s="228"/>
      <c r="HL66" s="228"/>
      <c r="HM66" s="228"/>
      <c r="HN66" s="228"/>
      <c r="HO66" s="228"/>
      <c r="HP66" s="228"/>
      <c r="HQ66" s="228"/>
      <c r="HR66" s="228"/>
      <c r="HS66" s="228"/>
      <c r="HT66" s="228"/>
      <c r="HU66" s="228"/>
      <c r="HV66" s="228"/>
      <c r="HW66" s="228"/>
      <c r="HX66" s="228"/>
      <c r="HY66" s="228"/>
      <c r="HZ66" s="228"/>
      <c r="IA66" s="228"/>
      <c r="IB66" s="228"/>
      <c r="IC66" s="228"/>
      <c r="ID66" s="228"/>
      <c r="IE66" s="228"/>
      <c r="IF66" s="228"/>
      <c r="IG66" s="228"/>
      <c r="IH66" s="228"/>
      <c r="II66" s="228"/>
      <c r="IJ66" s="228"/>
      <c r="IK66" s="228"/>
      <c r="IL66" s="228"/>
      <c r="IM66" s="228"/>
      <c r="IN66" s="228"/>
      <c r="IO66" s="228"/>
      <c r="IP66" s="228"/>
      <c r="IQ66" s="228"/>
      <c r="IR66" s="228"/>
      <c r="IS66" s="228"/>
      <c r="IT66" s="228"/>
      <c r="IU66" s="228"/>
      <c r="IV66" s="228"/>
      <c r="IW66" s="228"/>
      <c r="IX66" s="228"/>
      <c r="IY66" s="228"/>
      <c r="IZ66" s="228"/>
      <c r="JA66" s="228"/>
      <c r="JB66" s="228"/>
      <c r="JC66" s="228"/>
      <c r="JD66" s="228"/>
      <c r="JE66" s="228"/>
      <c r="JF66" s="228"/>
      <c r="JG66" s="228"/>
      <c r="JH66" s="228"/>
      <c r="JI66" s="228"/>
      <c r="JJ66" s="228"/>
      <c r="JK66" s="228"/>
      <c r="JL66" s="228"/>
      <c r="JM66" s="228"/>
      <c r="JN66" s="228"/>
      <c r="JO66" s="228"/>
      <c r="JP66" s="228"/>
      <c r="JQ66" s="228"/>
      <c r="JR66" s="228"/>
      <c r="JS66" s="228"/>
      <c r="JT66" s="228"/>
      <c r="JU66" s="228"/>
      <c r="JV66" s="228"/>
      <c r="JW66" s="228"/>
      <c r="JX66" s="228"/>
      <c r="JY66" s="228"/>
      <c r="JZ66" s="228"/>
      <c r="KA66" s="228"/>
      <c r="KB66" s="228"/>
      <c r="KC66" s="228"/>
      <c r="KD66" s="228"/>
      <c r="KE66" s="228"/>
      <c r="KF66" s="228"/>
      <c r="KG66" s="228"/>
      <c r="KH66" s="228"/>
      <c r="KI66" s="228"/>
      <c r="KJ66" s="228"/>
      <c r="KK66" s="228"/>
      <c r="KL66" s="228"/>
      <c r="KM66" s="228"/>
      <c r="KN66" s="228"/>
      <c r="KO66" s="228"/>
      <c r="KP66" s="228"/>
      <c r="KQ66" s="228"/>
      <c r="KR66" s="228"/>
      <c r="KS66" s="228"/>
      <c r="KT66" s="228"/>
      <c r="KU66" s="228"/>
      <c r="KV66" s="228"/>
      <c r="KW66" s="228"/>
      <c r="KX66" s="228"/>
      <c r="KY66" s="228"/>
      <c r="KZ66" s="228"/>
      <c r="LA66" s="228"/>
      <c r="LB66" s="228"/>
      <c r="LC66" s="228"/>
      <c r="LD66" s="228"/>
      <c r="LE66" s="228"/>
      <c r="LF66" s="228"/>
      <c r="LG66" s="228"/>
      <c r="LH66" s="228"/>
      <c r="LI66" s="228"/>
      <c r="LJ66" s="228"/>
      <c r="LK66" s="228"/>
      <c r="LL66" s="228"/>
      <c r="LM66" s="228"/>
      <c r="LN66" s="228"/>
      <c r="LO66" s="228"/>
      <c r="LP66" s="228"/>
      <c r="LQ66" s="228"/>
      <c r="LR66" s="228"/>
      <c r="LS66" s="228"/>
      <c r="LT66" s="228"/>
      <c r="LU66" s="228"/>
      <c r="LV66" s="228"/>
      <c r="LW66" s="228"/>
      <c r="LX66" s="228"/>
      <c r="LY66" s="228"/>
      <c r="LZ66" s="228"/>
      <c r="MA66" s="228"/>
      <c r="MB66" s="228"/>
      <c r="MC66" s="228"/>
      <c r="MD66" s="228"/>
      <c r="ME66" s="228"/>
      <c r="MF66" s="228"/>
      <c r="MG66" s="228"/>
      <c r="MH66" s="228"/>
      <c r="MI66" s="228"/>
      <c r="MJ66" s="228"/>
      <c r="MK66" s="228"/>
      <c r="ML66" s="228"/>
      <c r="MM66" s="228"/>
      <c r="MN66" s="228"/>
      <c r="MO66" s="228"/>
      <c r="MP66" s="228"/>
      <c r="MQ66" s="228"/>
      <c r="MR66" s="228"/>
      <c r="MS66" s="228"/>
      <c r="MT66" s="228"/>
      <c r="MU66" s="228"/>
      <c r="MV66" s="228"/>
      <c r="MW66" s="228"/>
      <c r="MX66" s="228"/>
      <c r="MY66" s="228"/>
      <c r="MZ66" s="228"/>
      <c r="NA66" s="228"/>
      <c r="NB66" s="228"/>
      <c r="NC66" s="228"/>
      <c r="ND66" s="228"/>
      <c r="NE66" s="228"/>
      <c r="NF66" s="228"/>
      <c r="NG66" s="228"/>
      <c r="NH66" s="228"/>
      <c r="NI66" s="228"/>
      <c r="NJ66" s="228"/>
      <c r="NK66" s="228"/>
      <c r="NL66" s="228"/>
      <c r="NM66" s="228"/>
      <c r="NN66" s="228"/>
      <c r="NO66" s="228"/>
      <c r="NP66" s="228"/>
      <c r="NQ66" s="228"/>
      <c r="NR66" s="228"/>
      <c r="NS66" s="228"/>
      <c r="NT66" s="228"/>
      <c r="NU66" s="228"/>
      <c r="NV66" s="228"/>
      <c r="NW66" s="228"/>
      <c r="NX66" s="228"/>
      <c r="NY66" s="228"/>
      <c r="NZ66" s="228"/>
      <c r="OA66" s="228"/>
      <c r="OB66" s="228"/>
      <c r="OC66" s="228"/>
      <c r="OD66" s="228"/>
      <c r="OE66" s="228"/>
      <c r="OF66" s="228"/>
      <c r="OG66" s="228"/>
      <c r="OH66" s="228"/>
      <c r="OI66" s="228"/>
      <c r="OJ66" s="228"/>
      <c r="OK66" s="228"/>
      <c r="OL66" s="228"/>
      <c r="OM66" s="228"/>
      <c r="ON66" s="228"/>
      <c r="OO66" s="228"/>
      <c r="OP66" s="228"/>
      <c r="OQ66" s="228"/>
      <c r="OR66" s="228"/>
      <c r="OS66" s="228"/>
      <c r="OT66" s="228"/>
      <c r="OU66" s="228"/>
      <c r="OV66" s="228"/>
      <c r="OW66" s="228"/>
      <c r="OX66" s="228"/>
      <c r="OY66" s="228"/>
      <c r="OZ66" s="228"/>
      <c r="PA66" s="228"/>
      <c r="PB66" s="228"/>
      <c r="PC66" s="228"/>
      <c r="PD66" s="228"/>
      <c r="PE66" s="228"/>
      <c r="PF66" s="228"/>
      <c r="PG66" s="228"/>
      <c r="PH66" s="228"/>
      <c r="PI66" s="228"/>
      <c r="PJ66" s="228"/>
      <c r="PK66" s="228"/>
      <c r="PL66" s="228"/>
      <c r="PM66" s="228"/>
      <c r="PN66" s="228"/>
      <c r="PO66" s="228"/>
      <c r="PP66" s="228"/>
      <c r="PQ66" s="228"/>
      <c r="PR66" s="228"/>
      <c r="PS66" s="228"/>
      <c r="PT66" s="228"/>
      <c r="PU66" s="228"/>
      <c r="PV66" s="228"/>
      <c r="PW66" s="228"/>
      <c r="PX66" s="228"/>
      <c r="PY66" s="228"/>
      <c r="PZ66" s="228"/>
      <c r="QA66" s="228"/>
      <c r="QB66" s="228"/>
      <c r="QC66" s="228"/>
      <c r="QD66" s="228"/>
      <c r="QE66" s="228"/>
      <c r="QF66" s="228"/>
      <c r="QG66" s="228"/>
      <c r="QH66" s="228"/>
      <c r="QI66" s="228"/>
      <c r="QJ66" s="228"/>
      <c r="QK66" s="228"/>
      <c r="QL66" s="228"/>
      <c r="QM66" s="228"/>
      <c r="QN66" s="228"/>
      <c r="QO66" s="228"/>
      <c r="QP66" s="228"/>
      <c r="QQ66" s="228"/>
      <c r="QR66" s="228"/>
      <c r="QS66" s="228"/>
      <c r="QT66" s="228"/>
      <c r="QU66" s="228"/>
      <c r="QV66" s="228"/>
      <c r="QW66" s="228"/>
      <c r="QX66" s="228"/>
      <c r="QY66" s="228"/>
      <c r="QZ66" s="228"/>
      <c r="RA66" s="228"/>
      <c r="RB66" s="228"/>
      <c r="RC66" s="228"/>
      <c r="RD66" s="228"/>
      <c r="RE66" s="228"/>
      <c r="RF66" s="228"/>
      <c r="RG66" s="228"/>
      <c r="RH66" s="228"/>
      <c r="RI66" s="228"/>
      <c r="RJ66" s="228"/>
      <c r="RK66" s="228"/>
      <c r="RL66" s="228"/>
      <c r="RM66" s="228"/>
      <c r="RN66" s="228"/>
      <c r="RO66" s="228"/>
      <c r="RP66" s="228"/>
      <c r="RQ66" s="228"/>
      <c r="RR66" s="228"/>
      <c r="RS66" s="228"/>
      <c r="RT66" s="228"/>
      <c r="RU66" s="228"/>
      <c r="RV66" s="228"/>
      <c r="RW66" s="228"/>
      <c r="RX66" s="228"/>
      <c r="RY66" s="228"/>
      <c r="RZ66" s="228"/>
      <c r="SA66" s="228"/>
      <c r="SB66" s="228"/>
      <c r="SC66" s="228"/>
      <c r="SD66" s="228"/>
      <c r="SE66" s="228"/>
      <c r="SF66" s="228"/>
      <c r="SG66" s="228"/>
      <c r="SH66" s="228"/>
      <c r="SI66" s="228"/>
      <c r="SJ66" s="228"/>
      <c r="SK66" s="228"/>
      <c r="SL66" s="228"/>
      <c r="SM66" s="228"/>
      <c r="SN66" s="228"/>
      <c r="SO66" s="228"/>
      <c r="SP66" s="228"/>
      <c r="SQ66" s="228"/>
      <c r="SR66" s="228"/>
      <c r="SS66" s="228"/>
      <c r="ST66" s="228"/>
      <c r="SU66" s="228"/>
      <c r="SV66" s="228"/>
      <c r="SW66" s="228"/>
      <c r="SX66" s="228"/>
      <c r="SY66" s="228"/>
      <c r="SZ66" s="228"/>
      <c r="TA66" s="228"/>
      <c r="TB66" s="228"/>
      <c r="TC66" s="228"/>
      <c r="TD66" s="228"/>
      <c r="TE66" s="228"/>
      <c r="TF66" s="228"/>
      <c r="TG66" s="228"/>
      <c r="TH66" s="228"/>
      <c r="TI66" s="228"/>
      <c r="TJ66" s="228"/>
      <c r="TK66" s="228"/>
      <c r="TL66" s="228"/>
      <c r="TM66" s="228"/>
      <c r="TN66" s="228"/>
      <c r="TO66" s="228"/>
      <c r="TP66" s="228"/>
      <c r="TQ66" s="228"/>
      <c r="TR66" s="228"/>
      <c r="TS66" s="228"/>
      <c r="TT66" s="228"/>
      <c r="TU66" s="228"/>
    </row>
    <row r="67" spans="1:541" s="240" customFormat="1" outlineLevel="1" x14ac:dyDescent="0.25">
      <c r="A67" s="283">
        <v>1</v>
      </c>
      <c r="B67" s="272" t="s">
        <v>125</v>
      </c>
      <c r="C67" s="258" t="s">
        <v>865</v>
      </c>
      <c r="D67" s="259" t="s">
        <v>1106</v>
      </c>
      <c r="E67" s="258" t="s">
        <v>803</v>
      </c>
      <c r="F67" s="257" t="s">
        <v>0</v>
      </c>
      <c r="G67" s="257" t="s">
        <v>1145</v>
      </c>
      <c r="H67" s="257" t="s">
        <v>1166</v>
      </c>
      <c r="I67" s="257" t="s">
        <v>1228</v>
      </c>
      <c r="J67" s="257" t="s">
        <v>1229</v>
      </c>
      <c r="K67" s="334"/>
      <c r="L67" s="334"/>
      <c r="M67" s="335" t="s">
        <v>365</v>
      </c>
      <c r="N67" s="334" t="s">
        <v>1159</v>
      </c>
      <c r="O67" s="334" t="s">
        <v>1160</v>
      </c>
      <c r="P67" s="334" t="s">
        <v>1156</v>
      </c>
      <c r="Q67" s="336"/>
    </row>
    <row r="68" spans="1:541" outlineLevel="1" x14ac:dyDescent="0.25">
      <c r="A68" s="232">
        <v>2</v>
      </c>
      <c r="B68" s="193" t="s">
        <v>125</v>
      </c>
      <c r="C68" s="5" t="s">
        <v>865</v>
      </c>
      <c r="D68" s="234" t="s">
        <v>1107</v>
      </c>
      <c r="E68" s="5" t="s">
        <v>803</v>
      </c>
      <c r="F68" s="213" t="s">
        <v>0</v>
      </c>
      <c r="G68" s="213" t="s">
        <v>1145</v>
      </c>
      <c r="H68" s="213" t="s">
        <v>1166</v>
      </c>
      <c r="I68" s="213" t="s">
        <v>1228</v>
      </c>
      <c r="J68" s="213" t="s">
        <v>1229</v>
      </c>
      <c r="K68" s="5"/>
      <c r="L68" s="5"/>
      <c r="M68" s="213" t="s">
        <v>365</v>
      </c>
      <c r="N68" s="5" t="s">
        <v>1159</v>
      </c>
      <c r="O68" s="5" t="s">
        <v>1160</v>
      </c>
      <c r="P68" s="5" t="s">
        <v>1156</v>
      </c>
      <c r="Q68" s="234"/>
    </row>
    <row r="69" spans="1:541" outlineLevel="1" x14ac:dyDescent="0.25">
      <c r="A69" s="232">
        <v>3</v>
      </c>
      <c r="B69" s="193" t="s">
        <v>125</v>
      </c>
      <c r="C69" s="5" t="s">
        <v>865</v>
      </c>
      <c r="D69" s="234" t="s">
        <v>1108</v>
      </c>
      <c r="E69" s="5" t="s">
        <v>803</v>
      </c>
      <c r="F69" s="213" t="s">
        <v>0</v>
      </c>
      <c r="G69" s="213" t="s">
        <v>1145</v>
      </c>
      <c r="H69" s="213" t="s">
        <v>1166</v>
      </c>
      <c r="I69" s="213" t="s">
        <v>1228</v>
      </c>
      <c r="J69" s="213" t="s">
        <v>1229</v>
      </c>
      <c r="K69" s="5"/>
      <c r="L69" s="5"/>
      <c r="M69" s="213" t="s">
        <v>365</v>
      </c>
      <c r="N69" s="5" t="s">
        <v>1159</v>
      </c>
      <c r="O69" s="5" t="s">
        <v>1160</v>
      </c>
      <c r="P69" s="5" t="s">
        <v>1156</v>
      </c>
      <c r="Q69" s="234"/>
    </row>
    <row r="70" spans="1:541" outlineLevel="1" x14ac:dyDescent="0.25">
      <c r="A70" s="232">
        <v>4</v>
      </c>
      <c r="B70" s="193" t="s">
        <v>125</v>
      </c>
      <c r="C70" s="5" t="s">
        <v>865</v>
      </c>
      <c r="D70" s="234" t="s">
        <v>1109</v>
      </c>
      <c r="E70" s="5" t="s">
        <v>803</v>
      </c>
      <c r="F70" s="213" t="s">
        <v>0</v>
      </c>
      <c r="G70" s="213" t="s">
        <v>1145</v>
      </c>
      <c r="H70" s="213" t="s">
        <v>1166</v>
      </c>
      <c r="I70" s="213" t="s">
        <v>1230</v>
      </c>
      <c r="J70" s="213" t="s">
        <v>1231</v>
      </c>
      <c r="K70" s="5"/>
      <c r="L70" s="5"/>
      <c r="M70" s="213" t="s">
        <v>365</v>
      </c>
      <c r="N70" s="5" t="s">
        <v>1159</v>
      </c>
      <c r="O70" s="5" t="s">
        <v>1160</v>
      </c>
      <c r="P70" s="5" t="s">
        <v>1156</v>
      </c>
      <c r="Q70" s="234"/>
    </row>
    <row r="71" spans="1:541" outlineLevel="1" x14ac:dyDescent="0.25">
      <c r="A71" s="232">
        <v>5</v>
      </c>
      <c r="B71" s="193" t="s">
        <v>125</v>
      </c>
      <c r="C71" s="5" t="s">
        <v>865</v>
      </c>
      <c r="D71" s="234" t="s">
        <v>1218</v>
      </c>
      <c r="E71" s="5" t="s">
        <v>803</v>
      </c>
      <c r="F71" s="213" t="s">
        <v>0</v>
      </c>
      <c r="G71" s="213" t="s">
        <v>1145</v>
      </c>
      <c r="H71" s="213" t="s">
        <v>1166</v>
      </c>
      <c r="I71" s="213" t="s">
        <v>1228</v>
      </c>
      <c r="J71" s="213" t="s">
        <v>1229</v>
      </c>
      <c r="K71" s="5"/>
      <c r="L71" s="5"/>
      <c r="M71" s="213" t="s">
        <v>365</v>
      </c>
      <c r="N71" s="5" t="s">
        <v>1159</v>
      </c>
      <c r="O71" s="5" t="s">
        <v>1160</v>
      </c>
      <c r="P71" s="5" t="s">
        <v>1156</v>
      </c>
      <c r="Q71" s="234"/>
    </row>
    <row r="72" spans="1:541" outlineLevel="1" x14ac:dyDescent="0.25">
      <c r="A72" s="232">
        <v>6</v>
      </c>
      <c r="B72" s="193" t="s">
        <v>125</v>
      </c>
      <c r="C72" s="5" t="s">
        <v>865</v>
      </c>
      <c r="D72" s="234" t="s">
        <v>1110</v>
      </c>
      <c r="E72" s="5" t="s">
        <v>803</v>
      </c>
      <c r="F72" s="213" t="s">
        <v>0</v>
      </c>
      <c r="G72" s="213" t="s">
        <v>1145</v>
      </c>
      <c r="H72" s="213" t="s">
        <v>1166</v>
      </c>
      <c r="I72" s="213" t="s">
        <v>1230</v>
      </c>
      <c r="J72" s="213" t="s">
        <v>1231</v>
      </c>
      <c r="K72" s="5"/>
      <c r="L72" s="5"/>
      <c r="M72" s="213" t="s">
        <v>365</v>
      </c>
      <c r="N72" s="5" t="s">
        <v>1159</v>
      </c>
      <c r="O72" s="5" t="s">
        <v>1160</v>
      </c>
      <c r="P72" s="5" t="s">
        <v>1156</v>
      </c>
      <c r="Q72" s="234"/>
    </row>
    <row r="73" spans="1:541" outlineLevel="1" x14ac:dyDescent="0.25">
      <c r="A73" s="232">
        <v>7</v>
      </c>
      <c r="B73" s="193" t="s">
        <v>125</v>
      </c>
      <c r="C73" s="5" t="s">
        <v>865</v>
      </c>
      <c r="D73" s="234" t="s">
        <v>1111</v>
      </c>
      <c r="E73" s="5" t="s">
        <v>803</v>
      </c>
      <c r="F73" s="213" t="s">
        <v>0</v>
      </c>
      <c r="G73" s="213" t="s">
        <v>1145</v>
      </c>
      <c r="H73" s="213" t="s">
        <v>1166</v>
      </c>
      <c r="I73" s="213" t="s">
        <v>1228</v>
      </c>
      <c r="J73" s="213" t="s">
        <v>1229</v>
      </c>
      <c r="K73" s="5"/>
      <c r="L73" s="5"/>
      <c r="M73" s="213" t="s">
        <v>365</v>
      </c>
      <c r="N73" s="5" t="s">
        <v>1159</v>
      </c>
      <c r="O73" s="5" t="s">
        <v>1160</v>
      </c>
      <c r="P73" s="5" t="s">
        <v>1156</v>
      </c>
      <c r="Q73" s="234"/>
    </row>
    <row r="74" spans="1:541" outlineLevel="1" x14ac:dyDescent="0.25">
      <c r="A74" s="232">
        <v>8</v>
      </c>
      <c r="B74" s="193" t="s">
        <v>125</v>
      </c>
      <c r="C74" s="5" t="s">
        <v>865</v>
      </c>
      <c r="D74" s="234" t="s">
        <v>1217</v>
      </c>
      <c r="E74" s="5" t="s">
        <v>803</v>
      </c>
      <c r="F74" s="213" t="s">
        <v>0</v>
      </c>
      <c r="G74" s="213" t="s">
        <v>1145</v>
      </c>
      <c r="H74" s="213" t="s">
        <v>1166</v>
      </c>
      <c r="I74" s="213" t="s">
        <v>1232</v>
      </c>
      <c r="J74" s="213" t="s">
        <v>1233</v>
      </c>
      <c r="K74" s="5"/>
      <c r="L74" s="5"/>
      <c r="M74" s="213" t="s">
        <v>365</v>
      </c>
      <c r="N74" s="5" t="s">
        <v>1159</v>
      </c>
      <c r="O74" s="5" t="s">
        <v>1160</v>
      </c>
      <c r="P74" s="5" t="s">
        <v>1156</v>
      </c>
      <c r="Q74" s="234"/>
    </row>
    <row r="75" spans="1:541" outlineLevel="1" x14ac:dyDescent="0.25">
      <c r="A75" s="232">
        <v>9</v>
      </c>
      <c r="B75" s="193" t="s">
        <v>125</v>
      </c>
      <c r="C75" s="5" t="s">
        <v>500</v>
      </c>
      <c r="D75" s="234" t="s">
        <v>1119</v>
      </c>
      <c r="E75" s="5" t="s">
        <v>803</v>
      </c>
      <c r="F75" s="213" t="s">
        <v>0</v>
      </c>
      <c r="G75" s="213" t="s">
        <v>1145</v>
      </c>
      <c r="H75" s="213" t="s">
        <v>1166</v>
      </c>
      <c r="I75" s="322" t="s">
        <v>1329</v>
      </c>
      <c r="J75" s="372" t="s">
        <v>1330</v>
      </c>
      <c r="K75" s="5"/>
      <c r="L75" s="5"/>
      <c r="M75" s="213" t="s">
        <v>365</v>
      </c>
      <c r="N75" s="5" t="s">
        <v>1159</v>
      </c>
      <c r="O75" s="5" t="s">
        <v>1160</v>
      </c>
      <c r="P75" s="5" t="s">
        <v>1156</v>
      </c>
      <c r="Q75" s="234" t="s">
        <v>1235</v>
      </c>
    </row>
    <row r="76" spans="1:541" outlineLevel="1" x14ac:dyDescent="0.25">
      <c r="A76" s="232">
        <v>10</v>
      </c>
      <c r="B76" s="193" t="s">
        <v>125</v>
      </c>
      <c r="C76" s="5" t="s">
        <v>500</v>
      </c>
      <c r="D76" s="234" t="s">
        <v>1120</v>
      </c>
      <c r="E76" s="5" t="s">
        <v>803</v>
      </c>
      <c r="F76" s="213" t="s">
        <v>0</v>
      </c>
      <c r="G76" s="213" t="s">
        <v>1145</v>
      </c>
      <c r="H76" s="213" t="s">
        <v>1166</v>
      </c>
      <c r="I76" s="322" t="s">
        <v>1329</v>
      </c>
      <c r="J76" s="372" t="s">
        <v>1330</v>
      </c>
      <c r="K76" s="5"/>
      <c r="L76" s="5"/>
      <c r="M76" s="213" t="s">
        <v>365</v>
      </c>
      <c r="N76" s="5" t="s">
        <v>1159</v>
      </c>
      <c r="O76" s="5" t="s">
        <v>1160</v>
      </c>
      <c r="P76" s="5" t="s">
        <v>1156</v>
      </c>
      <c r="Q76" s="234" t="s">
        <v>1235</v>
      </c>
    </row>
    <row r="77" spans="1:541" outlineLevel="1" x14ac:dyDescent="0.25">
      <c r="A77" s="232">
        <v>11</v>
      </c>
      <c r="B77" s="193" t="s">
        <v>125</v>
      </c>
      <c r="C77" s="5" t="s">
        <v>500</v>
      </c>
      <c r="D77" s="234" t="s">
        <v>1121</v>
      </c>
      <c r="E77" s="5" t="s">
        <v>803</v>
      </c>
      <c r="F77" s="213" t="s">
        <v>0</v>
      </c>
      <c r="G77" s="213" t="s">
        <v>1145</v>
      </c>
      <c r="H77" s="213" t="s">
        <v>1166</v>
      </c>
      <c r="I77" s="322" t="s">
        <v>1329</v>
      </c>
      <c r="J77" s="372" t="s">
        <v>1330</v>
      </c>
      <c r="K77" s="5"/>
      <c r="L77" s="5"/>
      <c r="M77" s="213" t="s">
        <v>365</v>
      </c>
      <c r="N77" s="5" t="s">
        <v>1159</v>
      </c>
      <c r="O77" s="5" t="s">
        <v>1160</v>
      </c>
      <c r="P77" s="5" t="s">
        <v>1156</v>
      </c>
      <c r="Q77" s="234" t="s">
        <v>1235</v>
      </c>
    </row>
    <row r="78" spans="1:541" outlineLevel="1" x14ac:dyDescent="0.25">
      <c r="A78" s="232">
        <v>12</v>
      </c>
      <c r="B78" s="193" t="s">
        <v>125</v>
      </c>
      <c r="C78" s="5" t="s">
        <v>500</v>
      </c>
      <c r="D78" s="234" t="s">
        <v>1122</v>
      </c>
      <c r="E78" s="5" t="s">
        <v>803</v>
      </c>
      <c r="F78" s="213" t="s">
        <v>0</v>
      </c>
      <c r="G78" s="213" t="s">
        <v>1145</v>
      </c>
      <c r="H78" s="213" t="s">
        <v>1166</v>
      </c>
      <c r="I78" s="322" t="s">
        <v>1329</v>
      </c>
      <c r="J78" s="372" t="s">
        <v>1330</v>
      </c>
      <c r="K78" s="5"/>
      <c r="L78" s="5"/>
      <c r="M78" s="213" t="s">
        <v>365</v>
      </c>
      <c r="N78" s="5" t="s">
        <v>1159</v>
      </c>
      <c r="O78" s="5" t="s">
        <v>1160</v>
      </c>
      <c r="P78" s="5" t="s">
        <v>1156</v>
      </c>
      <c r="Q78" s="234" t="s">
        <v>1235</v>
      </c>
    </row>
    <row r="79" spans="1:541" outlineLevel="1" x14ac:dyDescent="0.25">
      <c r="A79" s="232">
        <v>13</v>
      </c>
      <c r="B79" s="193" t="s">
        <v>125</v>
      </c>
      <c r="C79" s="5" t="s">
        <v>500</v>
      </c>
      <c r="D79" s="234" t="s">
        <v>1174</v>
      </c>
      <c r="E79" s="5" t="s">
        <v>803</v>
      </c>
      <c r="F79" s="213" t="s">
        <v>0</v>
      </c>
      <c r="G79" s="213" t="s">
        <v>1145</v>
      </c>
      <c r="H79" s="213" t="s">
        <v>1166</v>
      </c>
      <c r="I79" s="322" t="s">
        <v>1329</v>
      </c>
      <c r="J79" s="372" t="s">
        <v>1330</v>
      </c>
      <c r="K79" s="5"/>
      <c r="L79" s="5"/>
      <c r="M79" s="213" t="s">
        <v>365</v>
      </c>
      <c r="N79" s="5" t="s">
        <v>1159</v>
      </c>
      <c r="O79" s="5" t="s">
        <v>1160</v>
      </c>
      <c r="P79" s="5" t="s">
        <v>1156</v>
      </c>
      <c r="Q79" s="234" t="s">
        <v>1235</v>
      </c>
    </row>
    <row r="80" spans="1:541" outlineLevel="1" x14ac:dyDescent="0.25">
      <c r="A80" s="232">
        <v>14</v>
      </c>
      <c r="B80" s="193" t="s">
        <v>125</v>
      </c>
      <c r="C80" s="5" t="s">
        <v>500</v>
      </c>
      <c r="D80" s="234" t="s">
        <v>1123</v>
      </c>
      <c r="E80" s="5" t="s">
        <v>803</v>
      </c>
      <c r="F80" s="213" t="s">
        <v>0</v>
      </c>
      <c r="G80" s="213" t="s">
        <v>1145</v>
      </c>
      <c r="H80" s="213" t="s">
        <v>1166</v>
      </c>
      <c r="I80" s="322" t="s">
        <v>1329</v>
      </c>
      <c r="J80" s="372" t="s">
        <v>1330</v>
      </c>
      <c r="K80" s="5"/>
      <c r="L80" s="5"/>
      <c r="M80" s="213" t="s">
        <v>365</v>
      </c>
      <c r="N80" s="5" t="s">
        <v>1159</v>
      </c>
      <c r="O80" s="5" t="s">
        <v>1160</v>
      </c>
      <c r="P80" s="5" t="s">
        <v>1156</v>
      </c>
      <c r="Q80" s="234" t="s">
        <v>1235</v>
      </c>
    </row>
    <row r="81" spans="1:541" outlineLevel="1" x14ac:dyDescent="0.25">
      <c r="A81" s="232">
        <v>15</v>
      </c>
      <c r="B81" s="193" t="s">
        <v>125</v>
      </c>
      <c r="C81" s="5" t="s">
        <v>500</v>
      </c>
      <c r="D81" s="234" t="s">
        <v>1124</v>
      </c>
      <c r="E81" s="5" t="s">
        <v>803</v>
      </c>
      <c r="F81" s="213" t="s">
        <v>0</v>
      </c>
      <c r="G81" s="213" t="s">
        <v>1145</v>
      </c>
      <c r="H81" s="213" t="s">
        <v>1166</v>
      </c>
      <c r="I81" s="322" t="s">
        <v>1329</v>
      </c>
      <c r="J81" s="372" t="s">
        <v>1330</v>
      </c>
      <c r="K81" s="5"/>
      <c r="L81" s="5"/>
      <c r="M81" s="213" t="s">
        <v>365</v>
      </c>
      <c r="N81" s="5" t="s">
        <v>1159</v>
      </c>
      <c r="O81" s="5" t="s">
        <v>1160</v>
      </c>
      <c r="P81" s="5" t="s">
        <v>1156</v>
      </c>
      <c r="Q81" s="234" t="s">
        <v>1235</v>
      </c>
    </row>
    <row r="82" spans="1:541" outlineLevel="1" x14ac:dyDescent="0.25">
      <c r="A82" s="232">
        <v>16</v>
      </c>
      <c r="B82" s="193" t="s">
        <v>125</v>
      </c>
      <c r="C82" s="5" t="s">
        <v>500</v>
      </c>
      <c r="D82" s="234" t="s">
        <v>1125</v>
      </c>
      <c r="E82" s="5" t="s">
        <v>803</v>
      </c>
      <c r="F82" s="213" t="s">
        <v>0</v>
      </c>
      <c r="G82" s="213" t="s">
        <v>1145</v>
      </c>
      <c r="H82" s="213" t="s">
        <v>1166</v>
      </c>
      <c r="I82" s="322" t="s">
        <v>1329</v>
      </c>
      <c r="J82" s="372" t="s">
        <v>1330</v>
      </c>
      <c r="K82" s="5"/>
      <c r="L82" s="5"/>
      <c r="M82" s="213" t="s">
        <v>365</v>
      </c>
      <c r="N82" s="5" t="s">
        <v>1159</v>
      </c>
      <c r="O82" s="5" t="s">
        <v>1160</v>
      </c>
      <c r="P82" s="5" t="s">
        <v>1156</v>
      </c>
      <c r="Q82" s="234" t="s">
        <v>1235</v>
      </c>
    </row>
    <row r="83" spans="1:541" ht="15.75" outlineLevel="1" thickBot="1" x14ac:dyDescent="0.3">
      <c r="A83" s="275">
        <v>17</v>
      </c>
      <c r="B83" s="276" t="s">
        <v>125</v>
      </c>
      <c r="C83" s="224" t="s">
        <v>500</v>
      </c>
      <c r="D83" s="252" t="s">
        <v>1126</v>
      </c>
      <c r="E83" s="224" t="s">
        <v>803</v>
      </c>
      <c r="F83" s="251" t="s">
        <v>0</v>
      </c>
      <c r="G83" s="251" t="s">
        <v>1145</v>
      </c>
      <c r="H83" s="251" t="s">
        <v>1166</v>
      </c>
      <c r="I83" s="325" t="s">
        <v>1329</v>
      </c>
      <c r="J83" s="373" t="s">
        <v>1330</v>
      </c>
      <c r="K83" s="224"/>
      <c r="L83" s="224"/>
      <c r="M83" s="251" t="s">
        <v>365</v>
      </c>
      <c r="N83" s="224" t="s">
        <v>1159</v>
      </c>
      <c r="O83" s="224" t="s">
        <v>1160</v>
      </c>
      <c r="P83" s="224" t="s">
        <v>1156</v>
      </c>
      <c r="Q83" s="252" t="s">
        <v>1235</v>
      </c>
    </row>
    <row r="84" spans="1:541" s="201" customFormat="1" ht="15.75" thickBot="1" x14ac:dyDescent="0.3">
      <c r="A84" s="279"/>
      <c r="B84" s="280"/>
      <c r="C84" s="253"/>
      <c r="D84" s="253"/>
      <c r="E84" s="253"/>
      <c r="F84" s="254"/>
      <c r="G84" s="254"/>
      <c r="H84" s="254"/>
      <c r="I84" s="253"/>
      <c r="J84" s="253"/>
      <c r="K84" s="253"/>
      <c r="L84" s="253"/>
      <c r="M84" s="254"/>
      <c r="N84" s="253"/>
      <c r="O84" s="253"/>
      <c r="P84" s="253"/>
      <c r="Q84" s="255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/>
      <c r="AT84" s="228"/>
      <c r="AU84" s="228"/>
      <c r="AV84" s="228"/>
      <c r="AW84" s="228"/>
      <c r="AX84" s="228"/>
      <c r="AY84" s="228"/>
      <c r="AZ84" s="228"/>
      <c r="BA84" s="228"/>
      <c r="BB84" s="228"/>
      <c r="BC84" s="228"/>
      <c r="BD84" s="228"/>
      <c r="BE84" s="228"/>
      <c r="BF84" s="228"/>
      <c r="BG84" s="228"/>
      <c r="BH84" s="228"/>
      <c r="BI84" s="228"/>
      <c r="BJ84" s="228"/>
      <c r="BK84" s="228"/>
      <c r="BL84" s="228"/>
      <c r="BM84" s="228"/>
      <c r="BN84" s="228"/>
      <c r="BO84" s="228"/>
      <c r="BP84" s="228"/>
      <c r="BQ84" s="228"/>
      <c r="BR84" s="228"/>
      <c r="BS84" s="228"/>
      <c r="BT84" s="228"/>
      <c r="BU84" s="228"/>
      <c r="BV84" s="228"/>
      <c r="BW84" s="228"/>
      <c r="BX84" s="228"/>
      <c r="BY84" s="228"/>
      <c r="BZ84" s="228"/>
      <c r="CA84" s="228"/>
      <c r="CB84" s="228"/>
      <c r="CC84" s="228"/>
      <c r="CD84" s="228"/>
      <c r="CE84" s="228"/>
      <c r="CF84" s="228"/>
      <c r="CG84" s="228"/>
      <c r="CH84" s="228"/>
      <c r="CI84" s="228"/>
      <c r="CJ84" s="228"/>
      <c r="CK84" s="228"/>
      <c r="CL84" s="228"/>
      <c r="CM84" s="228"/>
      <c r="CN84" s="228"/>
      <c r="CO84" s="228"/>
      <c r="CP84" s="228"/>
      <c r="CQ84" s="228"/>
      <c r="CR84" s="228"/>
      <c r="CS84" s="228"/>
      <c r="CT84" s="228"/>
      <c r="CU84" s="228"/>
      <c r="CV84" s="228"/>
      <c r="CW84" s="228"/>
      <c r="CX84" s="228"/>
      <c r="CY84" s="228"/>
      <c r="CZ84" s="228"/>
      <c r="DA84" s="228"/>
      <c r="DB84" s="228"/>
      <c r="DC84" s="228"/>
      <c r="DD84" s="228"/>
      <c r="DE84" s="228"/>
      <c r="DF84" s="228"/>
      <c r="DG84" s="228"/>
      <c r="DH84" s="228"/>
      <c r="DI84" s="228"/>
      <c r="DJ84" s="228"/>
      <c r="DK84" s="228"/>
      <c r="DL84" s="228"/>
      <c r="DM84" s="228"/>
      <c r="DN84" s="228"/>
      <c r="DO84" s="228"/>
      <c r="DP84" s="228"/>
      <c r="DQ84" s="228"/>
      <c r="DR84" s="228"/>
      <c r="DS84" s="228"/>
      <c r="DT84" s="228"/>
      <c r="DU84" s="228"/>
      <c r="DV84" s="228"/>
      <c r="DW84" s="228"/>
      <c r="DX84" s="228"/>
      <c r="DY84" s="228"/>
      <c r="DZ84" s="228"/>
      <c r="EA84" s="228"/>
      <c r="EB84" s="228"/>
      <c r="EC84" s="228"/>
      <c r="ED84" s="228"/>
      <c r="EE84" s="228"/>
      <c r="EF84" s="228"/>
      <c r="EG84" s="228"/>
      <c r="EH84" s="228"/>
      <c r="EI84" s="228"/>
      <c r="EJ84" s="228"/>
      <c r="EK84" s="228"/>
      <c r="EL84" s="228"/>
      <c r="EM84" s="228"/>
      <c r="EN84" s="228"/>
      <c r="EO84" s="228"/>
      <c r="EP84" s="228"/>
      <c r="EQ84" s="228"/>
      <c r="ER84" s="228"/>
      <c r="ES84" s="228"/>
      <c r="ET84" s="228"/>
      <c r="EU84" s="228"/>
      <c r="EV84" s="228"/>
      <c r="EW84" s="228"/>
      <c r="EX84" s="228"/>
      <c r="EY84" s="228"/>
      <c r="EZ84" s="228"/>
      <c r="FA84" s="228"/>
      <c r="FB84" s="228"/>
      <c r="FC84" s="228"/>
      <c r="FD84" s="228"/>
      <c r="FE84" s="228"/>
      <c r="FF84" s="228"/>
      <c r="FG84" s="228"/>
      <c r="FH84" s="228"/>
      <c r="FI84" s="228"/>
      <c r="FJ84" s="228"/>
      <c r="FK84" s="228"/>
      <c r="FL84" s="228"/>
      <c r="FM84" s="228"/>
      <c r="FN84" s="228"/>
      <c r="FO84" s="228"/>
      <c r="FP84" s="228"/>
      <c r="FQ84" s="228"/>
      <c r="FR84" s="228"/>
      <c r="FS84" s="228"/>
      <c r="FT84" s="228"/>
      <c r="FU84" s="228"/>
      <c r="FV84" s="228"/>
      <c r="FW84" s="228"/>
      <c r="FX84" s="228"/>
      <c r="FY84" s="228"/>
      <c r="FZ84" s="228"/>
      <c r="GA84" s="228"/>
      <c r="GB84" s="228"/>
      <c r="GC84" s="228"/>
      <c r="GD84" s="228"/>
      <c r="GE84" s="228"/>
      <c r="GF84" s="228"/>
      <c r="GG84" s="228"/>
      <c r="GH84" s="228"/>
      <c r="GI84" s="228"/>
      <c r="GJ84" s="228"/>
      <c r="GK84" s="228"/>
      <c r="GL84" s="228"/>
      <c r="GM84" s="228"/>
      <c r="GN84" s="228"/>
      <c r="GO84" s="228"/>
      <c r="GP84" s="228"/>
      <c r="GQ84" s="228"/>
      <c r="GR84" s="228"/>
      <c r="GS84" s="228"/>
      <c r="GT84" s="228"/>
      <c r="GU84" s="228"/>
      <c r="GV84" s="228"/>
      <c r="GW84" s="228"/>
      <c r="GX84" s="228"/>
      <c r="GY84" s="228"/>
      <c r="GZ84" s="228"/>
      <c r="HA84" s="228"/>
      <c r="HB84" s="228"/>
      <c r="HC84" s="228"/>
      <c r="HD84" s="228"/>
      <c r="HE84" s="228"/>
      <c r="HF84" s="228"/>
      <c r="HG84" s="228"/>
      <c r="HH84" s="228"/>
      <c r="HI84" s="228"/>
      <c r="HJ84" s="228"/>
      <c r="HK84" s="228"/>
      <c r="HL84" s="228"/>
      <c r="HM84" s="228"/>
      <c r="HN84" s="228"/>
      <c r="HO84" s="228"/>
      <c r="HP84" s="228"/>
      <c r="HQ84" s="228"/>
      <c r="HR84" s="228"/>
      <c r="HS84" s="228"/>
      <c r="HT84" s="228"/>
      <c r="HU84" s="228"/>
      <c r="HV84" s="228"/>
      <c r="HW84" s="228"/>
      <c r="HX84" s="228"/>
      <c r="HY84" s="228"/>
      <c r="HZ84" s="228"/>
      <c r="IA84" s="228"/>
      <c r="IB84" s="228"/>
      <c r="IC84" s="228"/>
      <c r="ID84" s="228"/>
      <c r="IE84" s="228"/>
      <c r="IF84" s="228"/>
      <c r="IG84" s="228"/>
      <c r="IH84" s="228"/>
      <c r="II84" s="228"/>
      <c r="IJ84" s="228"/>
      <c r="IK84" s="228"/>
      <c r="IL84" s="228"/>
      <c r="IM84" s="228"/>
      <c r="IN84" s="228"/>
      <c r="IO84" s="228"/>
      <c r="IP84" s="228"/>
      <c r="IQ84" s="228"/>
      <c r="IR84" s="228"/>
      <c r="IS84" s="228"/>
      <c r="IT84" s="228"/>
      <c r="IU84" s="228"/>
      <c r="IV84" s="228"/>
      <c r="IW84" s="228"/>
      <c r="IX84" s="228"/>
      <c r="IY84" s="228"/>
      <c r="IZ84" s="228"/>
      <c r="JA84" s="228"/>
      <c r="JB84" s="228"/>
      <c r="JC84" s="228"/>
      <c r="JD84" s="228"/>
      <c r="JE84" s="228"/>
      <c r="JF84" s="228"/>
      <c r="JG84" s="228"/>
      <c r="JH84" s="228"/>
      <c r="JI84" s="228"/>
      <c r="JJ84" s="228"/>
      <c r="JK84" s="228"/>
      <c r="JL84" s="228"/>
      <c r="JM84" s="228"/>
      <c r="JN84" s="228"/>
      <c r="JO84" s="228"/>
      <c r="JP84" s="228"/>
      <c r="JQ84" s="228"/>
      <c r="JR84" s="228"/>
      <c r="JS84" s="228"/>
      <c r="JT84" s="228"/>
      <c r="JU84" s="228"/>
      <c r="JV84" s="228"/>
      <c r="JW84" s="228"/>
      <c r="JX84" s="228"/>
      <c r="JY84" s="228"/>
      <c r="JZ84" s="228"/>
      <c r="KA84" s="228"/>
      <c r="KB84" s="228"/>
      <c r="KC84" s="228"/>
      <c r="KD84" s="228"/>
      <c r="KE84" s="228"/>
      <c r="KF84" s="228"/>
      <c r="KG84" s="228"/>
      <c r="KH84" s="228"/>
      <c r="KI84" s="228"/>
      <c r="KJ84" s="228"/>
      <c r="KK84" s="228"/>
      <c r="KL84" s="228"/>
      <c r="KM84" s="228"/>
      <c r="KN84" s="228"/>
      <c r="KO84" s="228"/>
      <c r="KP84" s="228"/>
      <c r="KQ84" s="228"/>
      <c r="KR84" s="228"/>
      <c r="KS84" s="228"/>
      <c r="KT84" s="228"/>
      <c r="KU84" s="228"/>
      <c r="KV84" s="228"/>
      <c r="KW84" s="228"/>
      <c r="KX84" s="228"/>
      <c r="KY84" s="228"/>
      <c r="KZ84" s="228"/>
      <c r="LA84" s="228"/>
      <c r="LB84" s="228"/>
      <c r="LC84" s="228"/>
      <c r="LD84" s="228"/>
      <c r="LE84" s="228"/>
      <c r="LF84" s="228"/>
      <c r="LG84" s="228"/>
      <c r="LH84" s="228"/>
      <c r="LI84" s="228"/>
      <c r="LJ84" s="228"/>
      <c r="LK84" s="228"/>
      <c r="LL84" s="228"/>
      <c r="LM84" s="228"/>
      <c r="LN84" s="228"/>
      <c r="LO84" s="228"/>
      <c r="LP84" s="228"/>
      <c r="LQ84" s="228"/>
      <c r="LR84" s="228"/>
      <c r="LS84" s="228"/>
      <c r="LT84" s="228"/>
      <c r="LU84" s="228"/>
      <c r="LV84" s="228"/>
      <c r="LW84" s="228"/>
      <c r="LX84" s="228"/>
      <c r="LY84" s="228"/>
      <c r="LZ84" s="228"/>
      <c r="MA84" s="228"/>
      <c r="MB84" s="228"/>
      <c r="MC84" s="228"/>
      <c r="MD84" s="228"/>
      <c r="ME84" s="228"/>
      <c r="MF84" s="228"/>
      <c r="MG84" s="228"/>
      <c r="MH84" s="228"/>
      <c r="MI84" s="228"/>
      <c r="MJ84" s="228"/>
      <c r="MK84" s="228"/>
      <c r="ML84" s="228"/>
      <c r="MM84" s="228"/>
      <c r="MN84" s="228"/>
      <c r="MO84" s="228"/>
      <c r="MP84" s="228"/>
      <c r="MQ84" s="228"/>
      <c r="MR84" s="228"/>
      <c r="MS84" s="228"/>
      <c r="MT84" s="228"/>
      <c r="MU84" s="228"/>
      <c r="MV84" s="228"/>
      <c r="MW84" s="228"/>
      <c r="MX84" s="228"/>
      <c r="MY84" s="228"/>
      <c r="MZ84" s="228"/>
      <c r="NA84" s="228"/>
      <c r="NB84" s="228"/>
      <c r="NC84" s="228"/>
      <c r="ND84" s="228"/>
      <c r="NE84" s="228"/>
      <c r="NF84" s="228"/>
      <c r="NG84" s="228"/>
      <c r="NH84" s="228"/>
      <c r="NI84" s="228"/>
      <c r="NJ84" s="228"/>
      <c r="NK84" s="228"/>
      <c r="NL84" s="228"/>
      <c r="NM84" s="228"/>
      <c r="NN84" s="228"/>
      <c r="NO84" s="228"/>
      <c r="NP84" s="228"/>
      <c r="NQ84" s="228"/>
      <c r="NR84" s="228"/>
      <c r="NS84" s="228"/>
      <c r="NT84" s="228"/>
      <c r="NU84" s="228"/>
      <c r="NV84" s="228"/>
      <c r="NW84" s="228"/>
      <c r="NX84" s="228"/>
      <c r="NY84" s="228"/>
      <c r="NZ84" s="228"/>
      <c r="OA84" s="228"/>
      <c r="OB84" s="228"/>
      <c r="OC84" s="228"/>
      <c r="OD84" s="228"/>
      <c r="OE84" s="228"/>
      <c r="OF84" s="228"/>
      <c r="OG84" s="228"/>
      <c r="OH84" s="228"/>
      <c r="OI84" s="228"/>
      <c r="OJ84" s="228"/>
      <c r="OK84" s="228"/>
      <c r="OL84" s="228"/>
      <c r="OM84" s="228"/>
      <c r="ON84" s="228"/>
      <c r="OO84" s="228"/>
      <c r="OP84" s="228"/>
      <c r="OQ84" s="228"/>
      <c r="OR84" s="228"/>
      <c r="OS84" s="228"/>
      <c r="OT84" s="228"/>
      <c r="OU84" s="228"/>
      <c r="OV84" s="228"/>
      <c r="OW84" s="228"/>
      <c r="OX84" s="228"/>
      <c r="OY84" s="228"/>
      <c r="OZ84" s="228"/>
      <c r="PA84" s="228"/>
      <c r="PB84" s="228"/>
      <c r="PC84" s="228"/>
      <c r="PD84" s="228"/>
      <c r="PE84" s="228"/>
      <c r="PF84" s="228"/>
      <c r="PG84" s="228"/>
      <c r="PH84" s="228"/>
      <c r="PI84" s="228"/>
      <c r="PJ84" s="228"/>
      <c r="PK84" s="228"/>
      <c r="PL84" s="228"/>
      <c r="PM84" s="228"/>
      <c r="PN84" s="228"/>
      <c r="PO84" s="228"/>
      <c r="PP84" s="228"/>
      <c r="PQ84" s="228"/>
      <c r="PR84" s="228"/>
      <c r="PS84" s="228"/>
      <c r="PT84" s="228"/>
      <c r="PU84" s="228"/>
      <c r="PV84" s="228"/>
      <c r="PW84" s="228"/>
      <c r="PX84" s="228"/>
      <c r="PY84" s="228"/>
      <c r="PZ84" s="228"/>
      <c r="QA84" s="228"/>
      <c r="QB84" s="228"/>
      <c r="QC84" s="228"/>
      <c r="QD84" s="228"/>
      <c r="QE84" s="228"/>
      <c r="QF84" s="228"/>
      <c r="QG84" s="228"/>
      <c r="QH84" s="228"/>
      <c r="QI84" s="228"/>
      <c r="QJ84" s="228"/>
      <c r="QK84" s="228"/>
      <c r="QL84" s="228"/>
      <c r="QM84" s="228"/>
      <c r="QN84" s="228"/>
      <c r="QO84" s="228"/>
      <c r="QP84" s="228"/>
      <c r="QQ84" s="228"/>
      <c r="QR84" s="228"/>
      <c r="QS84" s="228"/>
      <c r="QT84" s="228"/>
      <c r="QU84" s="228"/>
      <c r="QV84" s="228"/>
      <c r="QW84" s="228"/>
      <c r="QX84" s="228"/>
      <c r="QY84" s="228"/>
      <c r="QZ84" s="228"/>
      <c r="RA84" s="228"/>
      <c r="RB84" s="228"/>
      <c r="RC84" s="228"/>
      <c r="RD84" s="228"/>
      <c r="RE84" s="228"/>
      <c r="RF84" s="228"/>
      <c r="RG84" s="228"/>
      <c r="RH84" s="228"/>
      <c r="RI84" s="228"/>
      <c r="RJ84" s="228"/>
      <c r="RK84" s="228"/>
      <c r="RL84" s="228"/>
      <c r="RM84" s="228"/>
      <c r="RN84" s="228"/>
      <c r="RO84" s="228"/>
      <c r="RP84" s="228"/>
      <c r="RQ84" s="228"/>
      <c r="RR84" s="228"/>
      <c r="RS84" s="228"/>
      <c r="RT84" s="228"/>
      <c r="RU84" s="228"/>
      <c r="RV84" s="228"/>
      <c r="RW84" s="228"/>
      <c r="RX84" s="228"/>
      <c r="RY84" s="228"/>
      <c r="RZ84" s="228"/>
      <c r="SA84" s="228"/>
      <c r="SB84" s="228"/>
      <c r="SC84" s="228"/>
      <c r="SD84" s="228"/>
      <c r="SE84" s="228"/>
      <c r="SF84" s="228"/>
      <c r="SG84" s="228"/>
      <c r="SH84" s="228"/>
      <c r="SI84" s="228"/>
      <c r="SJ84" s="228"/>
      <c r="SK84" s="228"/>
      <c r="SL84" s="228"/>
      <c r="SM84" s="228"/>
      <c r="SN84" s="228"/>
      <c r="SO84" s="228"/>
      <c r="SP84" s="228"/>
      <c r="SQ84" s="228"/>
      <c r="SR84" s="228"/>
      <c r="SS84" s="228"/>
      <c r="ST84" s="228"/>
      <c r="SU84" s="228"/>
      <c r="SV84" s="228"/>
      <c r="SW84" s="228"/>
      <c r="SX84" s="228"/>
      <c r="SY84" s="228"/>
      <c r="SZ84" s="228"/>
      <c r="TA84" s="228"/>
      <c r="TB84" s="228"/>
      <c r="TC84" s="228"/>
      <c r="TD84" s="228"/>
      <c r="TE84" s="228"/>
      <c r="TF84" s="228"/>
      <c r="TG84" s="228"/>
      <c r="TH84" s="228"/>
      <c r="TI84" s="228"/>
      <c r="TJ84" s="228"/>
      <c r="TK84" s="228"/>
      <c r="TL84" s="228"/>
      <c r="TM84" s="228"/>
      <c r="TN84" s="228"/>
      <c r="TO84" s="228"/>
      <c r="TP84" s="228"/>
      <c r="TQ84" s="228"/>
      <c r="TR84" s="228"/>
      <c r="TS84" s="228"/>
      <c r="TT84" s="228"/>
      <c r="TU84" s="228"/>
    </row>
    <row r="85" spans="1:541" s="240" customFormat="1" outlineLevel="1" x14ac:dyDescent="0.25">
      <c r="A85" s="230">
        <v>1</v>
      </c>
      <c r="B85" s="195" t="s">
        <v>1062</v>
      </c>
      <c r="C85" s="216" t="s">
        <v>500</v>
      </c>
      <c r="D85" s="195" t="s">
        <v>1138</v>
      </c>
      <c r="E85" s="210" t="s">
        <v>803</v>
      </c>
      <c r="F85" s="216" t="s">
        <v>0</v>
      </c>
      <c r="G85" s="216" t="s">
        <v>1170</v>
      </c>
      <c r="H85" s="216" t="s">
        <v>1166</v>
      </c>
      <c r="I85" s="211" t="s">
        <v>1329</v>
      </c>
      <c r="J85" s="211" t="s">
        <v>1330</v>
      </c>
      <c r="K85" s="216" t="s">
        <v>535</v>
      </c>
      <c r="L85" s="216" t="s">
        <v>535</v>
      </c>
      <c r="M85" s="216" t="s">
        <v>535</v>
      </c>
      <c r="N85" s="221" t="s">
        <v>1159</v>
      </c>
      <c r="O85" s="221" t="s">
        <v>1160</v>
      </c>
      <c r="P85" s="221" t="s">
        <v>1156</v>
      </c>
      <c r="Q85" s="377" t="s">
        <v>1235</v>
      </c>
    </row>
    <row r="86" spans="1:541" s="240" customFormat="1" outlineLevel="1" x14ac:dyDescent="0.25">
      <c r="A86" s="232">
        <f t="shared" ref="A86:A100" si="1">A85+1</f>
        <v>2</v>
      </c>
      <c r="B86" s="193" t="s">
        <v>1062</v>
      </c>
      <c r="C86" s="213" t="s">
        <v>500</v>
      </c>
      <c r="D86" s="193" t="s">
        <v>1139</v>
      </c>
      <c r="E86" s="5" t="s">
        <v>803</v>
      </c>
      <c r="F86" s="213" t="s">
        <v>0</v>
      </c>
      <c r="G86" s="213" t="s">
        <v>1170</v>
      </c>
      <c r="H86" s="213" t="s">
        <v>1166</v>
      </c>
      <c r="I86" s="212" t="s">
        <v>1329</v>
      </c>
      <c r="J86" s="212" t="s">
        <v>1330</v>
      </c>
      <c r="K86" s="213" t="s">
        <v>535</v>
      </c>
      <c r="L86" s="213" t="s">
        <v>535</v>
      </c>
      <c r="M86" s="213" t="s">
        <v>535</v>
      </c>
      <c r="N86" s="222" t="s">
        <v>1159</v>
      </c>
      <c r="O86" s="222" t="s">
        <v>1160</v>
      </c>
      <c r="P86" s="222" t="s">
        <v>1156</v>
      </c>
      <c r="Q86" s="374" t="s">
        <v>1235</v>
      </c>
    </row>
    <row r="87" spans="1:541" s="240" customFormat="1" outlineLevel="1" x14ac:dyDescent="0.25">
      <c r="A87" s="232">
        <f t="shared" si="1"/>
        <v>3</v>
      </c>
      <c r="B87" s="193" t="s">
        <v>1062</v>
      </c>
      <c r="C87" s="213" t="s">
        <v>500</v>
      </c>
      <c r="D87" s="193" t="s">
        <v>1140</v>
      </c>
      <c r="E87" s="5" t="s">
        <v>803</v>
      </c>
      <c r="F87" s="213" t="s">
        <v>0</v>
      </c>
      <c r="G87" s="213" t="s">
        <v>1170</v>
      </c>
      <c r="H87" s="213" t="s">
        <v>1166</v>
      </c>
      <c r="I87" s="212" t="s">
        <v>1329</v>
      </c>
      <c r="J87" s="212" t="s">
        <v>1330</v>
      </c>
      <c r="K87" s="213" t="s">
        <v>535</v>
      </c>
      <c r="L87" s="213" t="s">
        <v>535</v>
      </c>
      <c r="M87" s="213" t="s">
        <v>535</v>
      </c>
      <c r="N87" s="222" t="s">
        <v>1159</v>
      </c>
      <c r="O87" s="222" t="s">
        <v>1160</v>
      </c>
      <c r="P87" s="222" t="s">
        <v>1156</v>
      </c>
      <c r="Q87" s="374" t="s">
        <v>1235</v>
      </c>
    </row>
    <row r="88" spans="1:541" s="240" customFormat="1" outlineLevel="1" x14ac:dyDescent="0.25">
      <c r="A88" s="232">
        <f t="shared" si="1"/>
        <v>4</v>
      </c>
      <c r="B88" s="193" t="s">
        <v>1062</v>
      </c>
      <c r="C88" s="213" t="s">
        <v>500</v>
      </c>
      <c r="D88" s="193" t="s">
        <v>1141</v>
      </c>
      <c r="E88" s="5" t="s">
        <v>803</v>
      </c>
      <c r="F88" s="213" t="s">
        <v>0</v>
      </c>
      <c r="G88" s="213" t="s">
        <v>1170</v>
      </c>
      <c r="H88" s="213" t="s">
        <v>1166</v>
      </c>
      <c r="I88" s="212" t="s">
        <v>1329</v>
      </c>
      <c r="J88" s="212" t="s">
        <v>1330</v>
      </c>
      <c r="K88" s="213" t="s">
        <v>535</v>
      </c>
      <c r="L88" s="213" t="s">
        <v>535</v>
      </c>
      <c r="M88" s="213" t="s">
        <v>535</v>
      </c>
      <c r="N88" s="222" t="s">
        <v>1159</v>
      </c>
      <c r="O88" s="222" t="s">
        <v>1160</v>
      </c>
      <c r="P88" s="222" t="s">
        <v>1156</v>
      </c>
      <c r="Q88" s="374" t="s">
        <v>1235</v>
      </c>
    </row>
    <row r="89" spans="1:541" s="240" customFormat="1" outlineLevel="1" x14ac:dyDescent="0.25">
      <c r="A89" s="232">
        <f t="shared" si="1"/>
        <v>5</v>
      </c>
      <c r="B89" s="193" t="s">
        <v>1062</v>
      </c>
      <c r="C89" s="213" t="s">
        <v>500</v>
      </c>
      <c r="D89" s="193" t="s">
        <v>1142</v>
      </c>
      <c r="E89" s="5" t="s">
        <v>803</v>
      </c>
      <c r="F89" s="213" t="s">
        <v>0</v>
      </c>
      <c r="G89" s="213" t="s">
        <v>1170</v>
      </c>
      <c r="H89" s="213" t="s">
        <v>1166</v>
      </c>
      <c r="I89" s="212" t="s">
        <v>1329</v>
      </c>
      <c r="J89" s="212" t="s">
        <v>1330</v>
      </c>
      <c r="K89" s="213" t="s">
        <v>535</v>
      </c>
      <c r="L89" s="213" t="s">
        <v>535</v>
      </c>
      <c r="M89" s="213" t="s">
        <v>535</v>
      </c>
      <c r="N89" s="222" t="s">
        <v>1159</v>
      </c>
      <c r="O89" s="222" t="s">
        <v>1160</v>
      </c>
      <c r="P89" s="222" t="s">
        <v>1156</v>
      </c>
      <c r="Q89" s="374" t="s">
        <v>1235</v>
      </c>
    </row>
    <row r="90" spans="1:541" s="240" customFormat="1" outlineLevel="1" x14ac:dyDescent="0.25">
      <c r="A90" s="232">
        <f t="shared" si="1"/>
        <v>6</v>
      </c>
      <c r="B90" s="193" t="s">
        <v>1062</v>
      </c>
      <c r="C90" s="213" t="s">
        <v>500</v>
      </c>
      <c r="D90" s="193" t="s">
        <v>1143</v>
      </c>
      <c r="E90" s="5" t="s">
        <v>803</v>
      </c>
      <c r="F90" s="213" t="s">
        <v>0</v>
      </c>
      <c r="G90" s="213" t="s">
        <v>1170</v>
      </c>
      <c r="H90" s="213" t="s">
        <v>1166</v>
      </c>
      <c r="I90" s="212" t="s">
        <v>1329</v>
      </c>
      <c r="J90" s="212" t="s">
        <v>1330</v>
      </c>
      <c r="K90" s="213" t="s">
        <v>535</v>
      </c>
      <c r="L90" s="213" t="s">
        <v>535</v>
      </c>
      <c r="M90" s="213" t="s">
        <v>535</v>
      </c>
      <c r="N90" s="222" t="s">
        <v>1159</v>
      </c>
      <c r="O90" s="222" t="s">
        <v>1160</v>
      </c>
      <c r="P90" s="222" t="s">
        <v>1156</v>
      </c>
      <c r="Q90" s="374" t="s">
        <v>1235</v>
      </c>
    </row>
    <row r="91" spans="1:541" s="240" customFormat="1" outlineLevel="1" x14ac:dyDescent="0.25">
      <c r="A91" s="232">
        <f t="shared" si="1"/>
        <v>7</v>
      </c>
      <c r="B91" s="193" t="s">
        <v>1062</v>
      </c>
      <c r="C91" s="213" t="s">
        <v>500</v>
      </c>
      <c r="D91" s="193" t="s">
        <v>1143</v>
      </c>
      <c r="E91" s="5" t="s">
        <v>803</v>
      </c>
      <c r="F91" s="213" t="s">
        <v>0</v>
      </c>
      <c r="G91" s="213" t="s">
        <v>1170</v>
      </c>
      <c r="H91" s="213" t="s">
        <v>1166</v>
      </c>
      <c r="I91" s="212" t="s">
        <v>1329</v>
      </c>
      <c r="J91" s="212" t="s">
        <v>1330</v>
      </c>
      <c r="K91" s="213" t="s">
        <v>535</v>
      </c>
      <c r="L91" s="213" t="s">
        <v>535</v>
      </c>
      <c r="M91" s="213" t="s">
        <v>535</v>
      </c>
      <c r="N91" s="222" t="s">
        <v>1159</v>
      </c>
      <c r="O91" s="222" t="s">
        <v>1160</v>
      </c>
      <c r="P91" s="222" t="s">
        <v>1156</v>
      </c>
      <c r="Q91" s="374" t="s">
        <v>1235</v>
      </c>
    </row>
    <row r="92" spans="1:541" s="240" customFormat="1" outlineLevel="1" x14ac:dyDescent="0.25">
      <c r="A92" s="232">
        <f t="shared" si="1"/>
        <v>8</v>
      </c>
      <c r="B92" s="193" t="s">
        <v>1062</v>
      </c>
      <c r="C92" s="213" t="s">
        <v>500</v>
      </c>
      <c r="D92" s="193" t="s">
        <v>1129</v>
      </c>
      <c r="E92" s="5" t="s">
        <v>803</v>
      </c>
      <c r="F92" s="213" t="s">
        <v>0</v>
      </c>
      <c r="G92" s="213" t="s">
        <v>1170</v>
      </c>
      <c r="H92" s="213" t="s">
        <v>1166</v>
      </c>
      <c r="I92" s="212" t="s">
        <v>1329</v>
      </c>
      <c r="J92" s="212" t="s">
        <v>1330</v>
      </c>
      <c r="K92" s="213" t="s">
        <v>535</v>
      </c>
      <c r="L92" s="213" t="s">
        <v>535</v>
      </c>
      <c r="M92" s="213" t="s">
        <v>535</v>
      </c>
      <c r="N92" s="222" t="s">
        <v>1159</v>
      </c>
      <c r="O92" s="222" t="s">
        <v>1160</v>
      </c>
      <c r="P92" s="222" t="s">
        <v>1156</v>
      </c>
      <c r="Q92" s="374" t="s">
        <v>1235</v>
      </c>
    </row>
    <row r="93" spans="1:541" s="240" customFormat="1" outlineLevel="1" x14ac:dyDescent="0.25">
      <c r="A93" s="232">
        <f t="shared" si="1"/>
        <v>9</v>
      </c>
      <c r="B93" s="193" t="s">
        <v>1062</v>
      </c>
      <c r="C93" s="213" t="s">
        <v>500</v>
      </c>
      <c r="D93" s="193" t="s">
        <v>1128</v>
      </c>
      <c r="E93" s="5" t="s">
        <v>803</v>
      </c>
      <c r="F93" s="213" t="s">
        <v>0</v>
      </c>
      <c r="G93" s="213" t="s">
        <v>1170</v>
      </c>
      <c r="H93" s="213" t="s">
        <v>1166</v>
      </c>
      <c r="I93" s="212" t="s">
        <v>1329</v>
      </c>
      <c r="J93" s="212" t="s">
        <v>1330</v>
      </c>
      <c r="K93" s="213" t="s">
        <v>535</v>
      </c>
      <c r="L93" s="213" t="s">
        <v>535</v>
      </c>
      <c r="M93" s="213" t="s">
        <v>535</v>
      </c>
      <c r="N93" s="222" t="s">
        <v>1159</v>
      </c>
      <c r="O93" s="222" t="s">
        <v>1160</v>
      </c>
      <c r="P93" s="222" t="s">
        <v>1156</v>
      </c>
      <c r="Q93" s="374" t="s">
        <v>1235</v>
      </c>
    </row>
    <row r="94" spans="1:541" s="240" customFormat="1" outlineLevel="1" x14ac:dyDescent="0.25">
      <c r="A94" s="232">
        <f t="shared" si="1"/>
        <v>10</v>
      </c>
      <c r="B94" s="193" t="s">
        <v>1062</v>
      </c>
      <c r="C94" s="213" t="s">
        <v>500</v>
      </c>
      <c r="D94" s="193" t="s">
        <v>1113</v>
      </c>
      <c r="E94" s="5" t="s">
        <v>803</v>
      </c>
      <c r="F94" s="213" t="s">
        <v>0</v>
      </c>
      <c r="G94" s="213" t="s">
        <v>1170</v>
      </c>
      <c r="H94" s="213" t="s">
        <v>1166</v>
      </c>
      <c r="I94" s="212" t="s">
        <v>1329</v>
      </c>
      <c r="J94" s="212" t="s">
        <v>1330</v>
      </c>
      <c r="K94" s="213" t="s">
        <v>535</v>
      </c>
      <c r="L94" s="213" t="s">
        <v>535</v>
      </c>
      <c r="M94" s="213" t="s">
        <v>535</v>
      </c>
      <c r="N94" s="222" t="s">
        <v>1159</v>
      </c>
      <c r="O94" s="222" t="s">
        <v>1160</v>
      </c>
      <c r="P94" s="222" t="s">
        <v>1156</v>
      </c>
      <c r="Q94" s="374" t="s">
        <v>1235</v>
      </c>
    </row>
    <row r="95" spans="1:541" s="240" customFormat="1" outlineLevel="1" x14ac:dyDescent="0.25">
      <c r="A95" s="232">
        <f t="shared" si="1"/>
        <v>11</v>
      </c>
      <c r="B95" s="193" t="s">
        <v>1062</v>
      </c>
      <c r="C95" s="213" t="s">
        <v>500</v>
      </c>
      <c r="D95" s="193" t="s">
        <v>1113</v>
      </c>
      <c r="E95" s="5" t="s">
        <v>803</v>
      </c>
      <c r="F95" s="213" t="s">
        <v>0</v>
      </c>
      <c r="G95" s="213" t="s">
        <v>1170</v>
      </c>
      <c r="H95" s="213" t="s">
        <v>1166</v>
      </c>
      <c r="I95" s="212" t="s">
        <v>1329</v>
      </c>
      <c r="J95" s="212" t="s">
        <v>1330</v>
      </c>
      <c r="K95" s="213" t="s">
        <v>535</v>
      </c>
      <c r="L95" s="213" t="s">
        <v>535</v>
      </c>
      <c r="M95" s="213" t="s">
        <v>535</v>
      </c>
      <c r="N95" s="222" t="s">
        <v>1159</v>
      </c>
      <c r="O95" s="222" t="s">
        <v>1160</v>
      </c>
      <c r="P95" s="222" t="s">
        <v>1156</v>
      </c>
      <c r="Q95" s="374" t="s">
        <v>1235</v>
      </c>
    </row>
    <row r="96" spans="1:541" s="240" customFormat="1" outlineLevel="1" x14ac:dyDescent="0.25">
      <c r="A96" s="232">
        <f t="shared" si="1"/>
        <v>12</v>
      </c>
      <c r="B96" s="193" t="s">
        <v>1062</v>
      </c>
      <c r="C96" s="213" t="s">
        <v>500</v>
      </c>
      <c r="D96" s="193" t="s">
        <v>1114</v>
      </c>
      <c r="E96" s="5" t="s">
        <v>803</v>
      </c>
      <c r="F96" s="213" t="s">
        <v>0</v>
      </c>
      <c r="G96" s="213" t="s">
        <v>1170</v>
      </c>
      <c r="H96" s="213" t="s">
        <v>1166</v>
      </c>
      <c r="I96" s="212" t="s">
        <v>1329</v>
      </c>
      <c r="J96" s="212" t="s">
        <v>1330</v>
      </c>
      <c r="K96" s="213" t="s">
        <v>535</v>
      </c>
      <c r="L96" s="213" t="s">
        <v>535</v>
      </c>
      <c r="M96" s="213" t="s">
        <v>535</v>
      </c>
      <c r="N96" s="222" t="s">
        <v>1159</v>
      </c>
      <c r="O96" s="222" t="s">
        <v>1160</v>
      </c>
      <c r="P96" s="222" t="s">
        <v>1156</v>
      </c>
      <c r="Q96" s="374" t="s">
        <v>1235</v>
      </c>
    </row>
    <row r="97" spans="1:541" s="240" customFormat="1" outlineLevel="1" x14ac:dyDescent="0.25">
      <c r="A97" s="232">
        <f t="shared" si="1"/>
        <v>13</v>
      </c>
      <c r="B97" s="193" t="s">
        <v>1062</v>
      </c>
      <c r="C97" s="213" t="s">
        <v>500</v>
      </c>
      <c r="D97" s="193" t="s">
        <v>1115</v>
      </c>
      <c r="E97" s="5" t="s">
        <v>803</v>
      </c>
      <c r="F97" s="213" t="s">
        <v>0</v>
      </c>
      <c r="G97" s="213" t="s">
        <v>1170</v>
      </c>
      <c r="H97" s="213" t="s">
        <v>1166</v>
      </c>
      <c r="I97" s="212" t="s">
        <v>1329</v>
      </c>
      <c r="J97" s="212" t="s">
        <v>1330</v>
      </c>
      <c r="K97" s="213" t="s">
        <v>535</v>
      </c>
      <c r="L97" s="213" t="s">
        <v>535</v>
      </c>
      <c r="M97" s="213" t="s">
        <v>535</v>
      </c>
      <c r="N97" s="222" t="s">
        <v>1159</v>
      </c>
      <c r="O97" s="222" t="s">
        <v>1160</v>
      </c>
      <c r="P97" s="222" t="s">
        <v>1156</v>
      </c>
      <c r="Q97" s="374" t="s">
        <v>1235</v>
      </c>
    </row>
    <row r="98" spans="1:541" s="240" customFormat="1" outlineLevel="1" x14ac:dyDescent="0.25">
      <c r="A98" s="232">
        <f t="shared" si="1"/>
        <v>14</v>
      </c>
      <c r="B98" s="193" t="s">
        <v>1062</v>
      </c>
      <c r="C98" s="213" t="s">
        <v>500</v>
      </c>
      <c r="D98" s="193" t="s">
        <v>1116</v>
      </c>
      <c r="E98" s="5" t="s">
        <v>803</v>
      </c>
      <c r="F98" s="213" t="s">
        <v>0</v>
      </c>
      <c r="G98" s="213" t="s">
        <v>1170</v>
      </c>
      <c r="H98" s="213" t="s">
        <v>1166</v>
      </c>
      <c r="I98" s="212" t="s">
        <v>1329</v>
      </c>
      <c r="J98" s="212" t="s">
        <v>1330</v>
      </c>
      <c r="K98" s="213" t="s">
        <v>535</v>
      </c>
      <c r="L98" s="213" t="s">
        <v>535</v>
      </c>
      <c r="M98" s="213" t="s">
        <v>535</v>
      </c>
      <c r="N98" s="222" t="s">
        <v>1159</v>
      </c>
      <c r="O98" s="222" t="s">
        <v>1160</v>
      </c>
      <c r="P98" s="222" t="s">
        <v>1156</v>
      </c>
      <c r="Q98" s="375" t="s">
        <v>1235</v>
      </c>
    </row>
    <row r="99" spans="1:541" s="240" customFormat="1" outlineLevel="1" x14ac:dyDescent="0.25">
      <c r="A99" s="232">
        <f t="shared" si="1"/>
        <v>15</v>
      </c>
      <c r="B99" s="193" t="s">
        <v>1062</v>
      </c>
      <c r="C99" s="213" t="s">
        <v>500</v>
      </c>
      <c r="D99" s="193" t="s">
        <v>1116</v>
      </c>
      <c r="E99" s="5" t="s">
        <v>803</v>
      </c>
      <c r="F99" s="213" t="s">
        <v>0</v>
      </c>
      <c r="G99" s="213" t="s">
        <v>1170</v>
      </c>
      <c r="H99" s="213" t="s">
        <v>1166</v>
      </c>
      <c r="I99" s="212" t="s">
        <v>1329</v>
      </c>
      <c r="J99" s="212" t="s">
        <v>1330</v>
      </c>
      <c r="K99" s="213" t="s">
        <v>535</v>
      </c>
      <c r="L99" s="213" t="s">
        <v>535</v>
      </c>
      <c r="M99" s="213" t="s">
        <v>535</v>
      </c>
      <c r="N99" s="222" t="s">
        <v>1159</v>
      </c>
      <c r="O99" s="222" t="s">
        <v>1160</v>
      </c>
      <c r="P99" s="222" t="s">
        <v>1156</v>
      </c>
      <c r="Q99" s="375" t="s">
        <v>1235</v>
      </c>
    </row>
    <row r="100" spans="1:541" s="240" customFormat="1" outlineLevel="1" x14ac:dyDescent="0.25">
      <c r="A100" s="232">
        <f t="shared" si="1"/>
        <v>16</v>
      </c>
      <c r="B100" s="193" t="s">
        <v>1062</v>
      </c>
      <c r="C100" s="213" t="s">
        <v>500</v>
      </c>
      <c r="D100" s="193" t="s">
        <v>1113</v>
      </c>
      <c r="E100" s="5" t="s">
        <v>803</v>
      </c>
      <c r="F100" s="213" t="s">
        <v>0</v>
      </c>
      <c r="G100" s="213" t="s">
        <v>1170</v>
      </c>
      <c r="H100" s="213" t="s">
        <v>1166</v>
      </c>
      <c r="I100" s="212" t="s">
        <v>1329</v>
      </c>
      <c r="J100" s="212" t="s">
        <v>1330</v>
      </c>
      <c r="K100" s="213" t="s">
        <v>535</v>
      </c>
      <c r="L100" s="213" t="s">
        <v>535</v>
      </c>
      <c r="M100" s="213" t="s">
        <v>535</v>
      </c>
      <c r="N100" s="222" t="s">
        <v>1159</v>
      </c>
      <c r="O100" s="222" t="s">
        <v>1160</v>
      </c>
      <c r="P100" s="222" t="s">
        <v>1156</v>
      </c>
      <c r="Q100" s="374" t="s">
        <v>1235</v>
      </c>
    </row>
    <row r="101" spans="1:541" s="240" customFormat="1" outlineLevel="1" x14ac:dyDescent="0.25">
      <c r="A101" s="232">
        <v>25</v>
      </c>
      <c r="B101" s="193" t="s">
        <v>1062</v>
      </c>
      <c r="C101" s="213" t="s">
        <v>500</v>
      </c>
      <c r="D101" s="193" t="s">
        <v>1117</v>
      </c>
      <c r="E101" s="5" t="s">
        <v>803</v>
      </c>
      <c r="F101" s="213" t="s">
        <v>0</v>
      </c>
      <c r="G101" s="213" t="s">
        <v>1170</v>
      </c>
      <c r="H101" s="213" t="s">
        <v>1166</v>
      </c>
      <c r="I101" s="212" t="s">
        <v>1329</v>
      </c>
      <c r="J101" s="212" t="s">
        <v>1330</v>
      </c>
      <c r="K101" s="213" t="s">
        <v>535</v>
      </c>
      <c r="L101" s="213" t="s">
        <v>535</v>
      </c>
      <c r="M101" s="213" t="s">
        <v>535</v>
      </c>
      <c r="N101" s="222" t="s">
        <v>1159</v>
      </c>
      <c r="O101" s="222" t="s">
        <v>1160</v>
      </c>
      <c r="P101" s="222" t="s">
        <v>1156</v>
      </c>
      <c r="Q101" s="374" t="s">
        <v>1235</v>
      </c>
    </row>
    <row r="102" spans="1:541" s="240" customFormat="1" outlineLevel="1" x14ac:dyDescent="0.25">
      <c r="A102" s="232">
        <v>17</v>
      </c>
      <c r="B102" s="193" t="s">
        <v>1127</v>
      </c>
      <c r="C102" s="213" t="s">
        <v>500</v>
      </c>
      <c r="D102" s="193" t="s">
        <v>1130</v>
      </c>
      <c r="E102" s="5" t="s">
        <v>803</v>
      </c>
      <c r="F102" s="213" t="s">
        <v>0</v>
      </c>
      <c r="G102" s="213" t="s">
        <v>1170</v>
      </c>
      <c r="H102" s="213" t="s">
        <v>1166</v>
      </c>
      <c r="I102" s="212" t="s">
        <v>1329</v>
      </c>
      <c r="J102" s="212" t="s">
        <v>1330</v>
      </c>
      <c r="K102" s="213" t="s">
        <v>432</v>
      </c>
      <c r="L102" s="213" t="s">
        <v>535</v>
      </c>
      <c r="M102" s="213" t="s">
        <v>535</v>
      </c>
      <c r="N102" s="222" t="s">
        <v>1159</v>
      </c>
      <c r="O102" s="222" t="s">
        <v>1160</v>
      </c>
      <c r="P102" s="222" t="s">
        <v>1156</v>
      </c>
      <c r="Q102" s="376" t="s">
        <v>1235</v>
      </c>
    </row>
    <row r="103" spans="1:541" s="240" customFormat="1" outlineLevel="1" x14ac:dyDescent="0.25">
      <c r="A103" s="232">
        <v>18</v>
      </c>
      <c r="B103" s="193" t="s">
        <v>1127</v>
      </c>
      <c r="C103" s="213" t="s">
        <v>500</v>
      </c>
      <c r="D103" s="193" t="s">
        <v>1131</v>
      </c>
      <c r="E103" s="5" t="s">
        <v>803</v>
      </c>
      <c r="F103" s="213" t="s">
        <v>0</v>
      </c>
      <c r="G103" s="213" t="s">
        <v>1170</v>
      </c>
      <c r="H103" s="213" t="s">
        <v>1166</v>
      </c>
      <c r="I103" s="212" t="s">
        <v>1329</v>
      </c>
      <c r="J103" s="212" t="s">
        <v>1330</v>
      </c>
      <c r="K103" s="213" t="s">
        <v>432</v>
      </c>
      <c r="L103" s="213" t="s">
        <v>432</v>
      </c>
      <c r="M103" s="213" t="s">
        <v>432</v>
      </c>
      <c r="N103" s="222" t="s">
        <v>1159</v>
      </c>
      <c r="O103" s="222" t="s">
        <v>1160</v>
      </c>
      <c r="P103" s="222" t="s">
        <v>1156</v>
      </c>
      <c r="Q103" s="217" t="s">
        <v>1137</v>
      </c>
    </row>
    <row r="104" spans="1:541" s="240" customFormat="1" outlineLevel="1" x14ac:dyDescent="0.25">
      <c r="A104" s="232">
        <v>19</v>
      </c>
      <c r="B104" s="193" t="s">
        <v>1127</v>
      </c>
      <c r="C104" s="213" t="s">
        <v>500</v>
      </c>
      <c r="D104" s="193" t="s">
        <v>1132</v>
      </c>
      <c r="E104" s="5" t="s">
        <v>803</v>
      </c>
      <c r="F104" s="213" t="s">
        <v>0</v>
      </c>
      <c r="G104" s="213" t="s">
        <v>1170</v>
      </c>
      <c r="H104" s="213" t="s">
        <v>1166</v>
      </c>
      <c r="I104" s="212" t="s">
        <v>1329</v>
      </c>
      <c r="J104" s="212" t="s">
        <v>1330</v>
      </c>
      <c r="K104" s="213" t="s">
        <v>432</v>
      </c>
      <c r="L104" s="213" t="s">
        <v>432</v>
      </c>
      <c r="M104" s="213" t="s">
        <v>432</v>
      </c>
      <c r="N104" s="222" t="s">
        <v>1159</v>
      </c>
      <c r="O104" s="222" t="s">
        <v>1160</v>
      </c>
      <c r="P104" s="222" t="s">
        <v>1156</v>
      </c>
      <c r="Q104" s="217" t="s">
        <v>1137</v>
      </c>
    </row>
    <row r="105" spans="1:541" s="240" customFormat="1" outlineLevel="1" x14ac:dyDescent="0.25">
      <c r="A105" s="232">
        <v>20</v>
      </c>
      <c r="B105" s="193" t="s">
        <v>1127</v>
      </c>
      <c r="C105" s="213" t="s">
        <v>500</v>
      </c>
      <c r="D105" s="193" t="s">
        <v>1133</v>
      </c>
      <c r="E105" s="5" t="s">
        <v>803</v>
      </c>
      <c r="F105" s="213" t="s">
        <v>0</v>
      </c>
      <c r="G105" s="213" t="s">
        <v>1170</v>
      </c>
      <c r="H105" s="213" t="s">
        <v>1166</v>
      </c>
      <c r="I105" s="212" t="s">
        <v>1329</v>
      </c>
      <c r="J105" s="212" t="s">
        <v>1330</v>
      </c>
      <c r="K105" s="213" t="s">
        <v>432</v>
      </c>
      <c r="L105" s="213" t="s">
        <v>432</v>
      </c>
      <c r="M105" s="213" t="s">
        <v>432</v>
      </c>
      <c r="N105" s="222" t="s">
        <v>1159</v>
      </c>
      <c r="O105" s="222" t="s">
        <v>1160</v>
      </c>
      <c r="P105" s="222" t="s">
        <v>1156</v>
      </c>
      <c r="Q105" s="217" t="s">
        <v>1137</v>
      </c>
    </row>
    <row r="106" spans="1:541" s="240" customFormat="1" outlineLevel="1" x14ac:dyDescent="0.25">
      <c r="A106" s="232">
        <v>21</v>
      </c>
      <c r="B106" s="193" t="s">
        <v>1127</v>
      </c>
      <c r="C106" s="213" t="s">
        <v>500</v>
      </c>
      <c r="D106" s="193" t="s">
        <v>1134</v>
      </c>
      <c r="E106" s="5" t="s">
        <v>803</v>
      </c>
      <c r="F106" s="213" t="s">
        <v>0</v>
      </c>
      <c r="G106" s="213" t="s">
        <v>1170</v>
      </c>
      <c r="H106" s="213" t="s">
        <v>1166</v>
      </c>
      <c r="I106" s="212" t="s">
        <v>1329</v>
      </c>
      <c r="J106" s="212" t="s">
        <v>1330</v>
      </c>
      <c r="K106" s="213" t="s">
        <v>432</v>
      </c>
      <c r="L106" s="213" t="s">
        <v>432</v>
      </c>
      <c r="M106" s="213" t="s">
        <v>432</v>
      </c>
      <c r="N106" s="222" t="s">
        <v>1159</v>
      </c>
      <c r="O106" s="222" t="s">
        <v>1160</v>
      </c>
      <c r="P106" s="222" t="s">
        <v>1156</v>
      </c>
      <c r="Q106" s="217" t="s">
        <v>1137</v>
      </c>
    </row>
    <row r="107" spans="1:541" s="240" customFormat="1" outlineLevel="1" x14ac:dyDescent="0.25">
      <c r="A107" s="232">
        <v>22</v>
      </c>
      <c r="B107" s="193" t="s">
        <v>1127</v>
      </c>
      <c r="C107" s="213" t="s">
        <v>500</v>
      </c>
      <c r="D107" s="193" t="s">
        <v>1135</v>
      </c>
      <c r="E107" s="5" t="s">
        <v>803</v>
      </c>
      <c r="F107" s="213" t="s">
        <v>0</v>
      </c>
      <c r="G107" s="213" t="s">
        <v>1170</v>
      </c>
      <c r="H107" s="213" t="s">
        <v>1166</v>
      </c>
      <c r="I107" s="212" t="s">
        <v>1329</v>
      </c>
      <c r="J107" s="212" t="s">
        <v>1330</v>
      </c>
      <c r="K107" s="213" t="s">
        <v>432</v>
      </c>
      <c r="L107" s="213" t="s">
        <v>432</v>
      </c>
      <c r="M107" s="213" t="s">
        <v>432</v>
      </c>
      <c r="N107" s="222" t="s">
        <v>1159</v>
      </c>
      <c r="O107" s="222" t="s">
        <v>1160</v>
      </c>
      <c r="P107" s="222" t="s">
        <v>1156</v>
      </c>
      <c r="Q107" s="217" t="s">
        <v>1137</v>
      </c>
    </row>
    <row r="108" spans="1:541" s="240" customFormat="1" ht="15.75" outlineLevel="1" thickBot="1" x14ac:dyDescent="0.3">
      <c r="A108" s="241">
        <v>23</v>
      </c>
      <c r="B108" s="194" t="s">
        <v>1127</v>
      </c>
      <c r="C108" s="215" t="s">
        <v>500</v>
      </c>
      <c r="D108" s="194" t="s">
        <v>1136</v>
      </c>
      <c r="E108" s="209" t="s">
        <v>803</v>
      </c>
      <c r="F108" s="215" t="s">
        <v>0</v>
      </c>
      <c r="G108" s="215" t="s">
        <v>1170</v>
      </c>
      <c r="H108" s="215" t="s">
        <v>1166</v>
      </c>
      <c r="I108" s="214" t="s">
        <v>1329</v>
      </c>
      <c r="J108" s="214" t="s">
        <v>1330</v>
      </c>
      <c r="K108" s="215" t="s">
        <v>432</v>
      </c>
      <c r="L108" s="215" t="s">
        <v>535</v>
      </c>
      <c r="M108" s="215" t="s">
        <v>535</v>
      </c>
      <c r="N108" s="220" t="s">
        <v>1159</v>
      </c>
      <c r="O108" s="220" t="s">
        <v>1160</v>
      </c>
      <c r="P108" s="220" t="s">
        <v>1156</v>
      </c>
      <c r="Q108" s="199">
        <v>66857</v>
      </c>
    </row>
    <row r="109" spans="1:541" s="201" customFormat="1" ht="15.75" thickBot="1" x14ac:dyDescent="0.3">
      <c r="A109" s="279"/>
      <c r="B109" s="280"/>
      <c r="C109" s="253"/>
      <c r="D109" s="253"/>
      <c r="E109" s="253"/>
      <c r="F109" s="254"/>
      <c r="G109" s="254"/>
      <c r="H109" s="254"/>
      <c r="I109" s="253"/>
      <c r="J109" s="253"/>
      <c r="K109" s="253"/>
      <c r="L109" s="253"/>
      <c r="M109" s="254"/>
      <c r="N109" s="253"/>
      <c r="O109" s="253"/>
      <c r="P109" s="253"/>
      <c r="Q109" s="255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 s="228"/>
      <c r="AX109" s="228"/>
      <c r="AY109" s="228"/>
      <c r="AZ109" s="228"/>
      <c r="BA109" s="228"/>
      <c r="BB109" s="228"/>
      <c r="BC109" s="228"/>
      <c r="BD109" s="228"/>
      <c r="BE109" s="228"/>
      <c r="BF109" s="228"/>
      <c r="BG109" s="228"/>
      <c r="BH109" s="228"/>
      <c r="BI109" s="228"/>
      <c r="BJ109" s="228"/>
      <c r="BK109" s="228"/>
      <c r="BL109" s="228"/>
      <c r="BM109" s="228"/>
      <c r="BN109" s="228"/>
      <c r="BO109" s="228"/>
      <c r="BP109" s="228"/>
      <c r="BQ109" s="228"/>
      <c r="BR109" s="228"/>
      <c r="BS109" s="228"/>
      <c r="BT109" s="228"/>
      <c r="BU109" s="228"/>
      <c r="BV109" s="228"/>
      <c r="BW109" s="228"/>
      <c r="BX109" s="228"/>
      <c r="BY109" s="228"/>
      <c r="BZ109" s="228"/>
      <c r="CA109" s="228"/>
      <c r="CB109" s="228"/>
      <c r="CC109" s="228"/>
      <c r="CD109" s="228"/>
      <c r="CE109" s="228"/>
      <c r="CF109" s="228"/>
      <c r="CG109" s="228"/>
      <c r="CH109" s="228"/>
      <c r="CI109" s="228"/>
      <c r="CJ109" s="228"/>
      <c r="CK109" s="228"/>
      <c r="CL109" s="228"/>
      <c r="CM109" s="228"/>
      <c r="CN109" s="228"/>
      <c r="CO109" s="228"/>
      <c r="CP109" s="228"/>
      <c r="CQ109" s="228"/>
      <c r="CR109" s="228"/>
      <c r="CS109" s="228"/>
      <c r="CT109" s="228"/>
      <c r="CU109" s="228"/>
      <c r="CV109" s="228"/>
      <c r="CW109" s="228"/>
      <c r="CX109" s="228"/>
      <c r="CY109" s="228"/>
      <c r="CZ109" s="228"/>
      <c r="DA109" s="228"/>
      <c r="DB109" s="228"/>
      <c r="DC109" s="228"/>
      <c r="DD109" s="228"/>
      <c r="DE109" s="228"/>
      <c r="DF109" s="228"/>
      <c r="DG109" s="228"/>
      <c r="DH109" s="228"/>
      <c r="DI109" s="228"/>
      <c r="DJ109" s="228"/>
      <c r="DK109" s="228"/>
      <c r="DL109" s="228"/>
      <c r="DM109" s="228"/>
      <c r="DN109" s="228"/>
      <c r="DO109" s="228"/>
      <c r="DP109" s="228"/>
      <c r="DQ109" s="228"/>
      <c r="DR109" s="228"/>
      <c r="DS109" s="228"/>
      <c r="DT109" s="228"/>
      <c r="DU109" s="228"/>
      <c r="DV109" s="228"/>
      <c r="DW109" s="228"/>
      <c r="DX109" s="228"/>
      <c r="DY109" s="228"/>
      <c r="DZ109" s="228"/>
      <c r="EA109" s="228"/>
      <c r="EB109" s="228"/>
      <c r="EC109" s="228"/>
      <c r="ED109" s="228"/>
      <c r="EE109" s="228"/>
      <c r="EF109" s="228"/>
      <c r="EG109" s="228"/>
      <c r="EH109" s="228"/>
      <c r="EI109" s="228"/>
      <c r="EJ109" s="228"/>
      <c r="EK109" s="228"/>
      <c r="EL109" s="228"/>
      <c r="EM109" s="228"/>
      <c r="EN109" s="228"/>
      <c r="EO109" s="228"/>
      <c r="EP109" s="228"/>
      <c r="EQ109" s="228"/>
      <c r="ER109" s="228"/>
      <c r="ES109" s="228"/>
      <c r="ET109" s="228"/>
      <c r="EU109" s="228"/>
      <c r="EV109" s="228"/>
      <c r="EW109" s="228"/>
      <c r="EX109" s="228"/>
      <c r="EY109" s="228"/>
      <c r="EZ109" s="228"/>
      <c r="FA109" s="228"/>
      <c r="FB109" s="228"/>
      <c r="FC109" s="228"/>
      <c r="FD109" s="228"/>
      <c r="FE109" s="228"/>
      <c r="FF109" s="228"/>
      <c r="FG109" s="228"/>
      <c r="FH109" s="228"/>
      <c r="FI109" s="228"/>
      <c r="FJ109" s="228"/>
      <c r="FK109" s="228"/>
      <c r="FL109" s="228"/>
      <c r="FM109" s="228"/>
      <c r="FN109" s="228"/>
      <c r="FO109" s="228"/>
      <c r="FP109" s="228"/>
      <c r="FQ109" s="228"/>
      <c r="FR109" s="228"/>
      <c r="FS109" s="228"/>
      <c r="FT109" s="228"/>
      <c r="FU109" s="228"/>
      <c r="FV109" s="228"/>
      <c r="FW109" s="228"/>
      <c r="FX109" s="228"/>
      <c r="FY109" s="228"/>
      <c r="FZ109" s="228"/>
      <c r="GA109" s="228"/>
      <c r="GB109" s="228"/>
      <c r="GC109" s="228"/>
      <c r="GD109" s="228"/>
      <c r="GE109" s="228"/>
      <c r="GF109" s="228"/>
      <c r="GG109" s="228"/>
      <c r="GH109" s="228"/>
      <c r="GI109" s="228"/>
      <c r="GJ109" s="228"/>
      <c r="GK109" s="228"/>
      <c r="GL109" s="228"/>
      <c r="GM109" s="228"/>
      <c r="GN109" s="228"/>
      <c r="GO109" s="228"/>
      <c r="GP109" s="228"/>
      <c r="GQ109" s="228"/>
      <c r="GR109" s="228"/>
      <c r="GS109" s="228"/>
      <c r="GT109" s="228"/>
      <c r="GU109" s="228"/>
      <c r="GV109" s="228"/>
      <c r="GW109" s="228"/>
      <c r="GX109" s="228"/>
      <c r="GY109" s="228"/>
      <c r="GZ109" s="228"/>
      <c r="HA109" s="228"/>
      <c r="HB109" s="228"/>
      <c r="HC109" s="228"/>
      <c r="HD109" s="228"/>
      <c r="HE109" s="228"/>
      <c r="HF109" s="228"/>
      <c r="HG109" s="228"/>
      <c r="HH109" s="228"/>
      <c r="HI109" s="228"/>
      <c r="HJ109" s="228"/>
      <c r="HK109" s="228"/>
      <c r="HL109" s="228"/>
      <c r="HM109" s="228"/>
      <c r="HN109" s="228"/>
      <c r="HO109" s="228"/>
      <c r="HP109" s="228"/>
      <c r="HQ109" s="228"/>
      <c r="HR109" s="228"/>
      <c r="HS109" s="228"/>
      <c r="HT109" s="228"/>
      <c r="HU109" s="228"/>
      <c r="HV109" s="228"/>
      <c r="HW109" s="228"/>
      <c r="HX109" s="228"/>
      <c r="HY109" s="228"/>
      <c r="HZ109" s="228"/>
      <c r="IA109" s="228"/>
      <c r="IB109" s="228"/>
      <c r="IC109" s="228"/>
      <c r="ID109" s="228"/>
      <c r="IE109" s="228"/>
      <c r="IF109" s="228"/>
      <c r="IG109" s="228"/>
      <c r="IH109" s="228"/>
      <c r="II109" s="228"/>
      <c r="IJ109" s="228"/>
      <c r="IK109" s="228"/>
      <c r="IL109" s="228"/>
      <c r="IM109" s="228"/>
      <c r="IN109" s="228"/>
      <c r="IO109" s="228"/>
      <c r="IP109" s="228"/>
      <c r="IQ109" s="228"/>
      <c r="IR109" s="228"/>
      <c r="IS109" s="228"/>
      <c r="IT109" s="228"/>
      <c r="IU109" s="228"/>
      <c r="IV109" s="228"/>
      <c r="IW109" s="228"/>
      <c r="IX109" s="228"/>
      <c r="IY109" s="228"/>
      <c r="IZ109" s="228"/>
      <c r="JA109" s="228"/>
      <c r="JB109" s="228"/>
      <c r="JC109" s="228"/>
      <c r="JD109" s="228"/>
      <c r="JE109" s="228"/>
      <c r="JF109" s="228"/>
      <c r="JG109" s="228"/>
      <c r="JH109" s="228"/>
      <c r="JI109" s="228"/>
      <c r="JJ109" s="228"/>
      <c r="JK109" s="228"/>
      <c r="JL109" s="228"/>
      <c r="JM109" s="228"/>
      <c r="JN109" s="228"/>
      <c r="JO109" s="228"/>
      <c r="JP109" s="228"/>
      <c r="JQ109" s="228"/>
      <c r="JR109" s="228"/>
      <c r="JS109" s="228"/>
      <c r="JT109" s="228"/>
      <c r="JU109" s="228"/>
      <c r="JV109" s="228"/>
      <c r="JW109" s="228"/>
      <c r="JX109" s="228"/>
      <c r="JY109" s="228"/>
      <c r="JZ109" s="228"/>
      <c r="KA109" s="228"/>
      <c r="KB109" s="228"/>
      <c r="KC109" s="228"/>
      <c r="KD109" s="228"/>
      <c r="KE109" s="228"/>
      <c r="KF109" s="228"/>
      <c r="KG109" s="228"/>
      <c r="KH109" s="228"/>
      <c r="KI109" s="228"/>
      <c r="KJ109" s="228"/>
      <c r="KK109" s="228"/>
      <c r="KL109" s="228"/>
      <c r="KM109" s="228"/>
      <c r="KN109" s="228"/>
      <c r="KO109" s="228"/>
      <c r="KP109" s="228"/>
      <c r="KQ109" s="228"/>
      <c r="KR109" s="228"/>
      <c r="KS109" s="228"/>
      <c r="KT109" s="228"/>
      <c r="KU109" s="228"/>
      <c r="KV109" s="228"/>
      <c r="KW109" s="228"/>
      <c r="KX109" s="228"/>
      <c r="KY109" s="228"/>
      <c r="KZ109" s="228"/>
      <c r="LA109" s="228"/>
      <c r="LB109" s="228"/>
      <c r="LC109" s="228"/>
      <c r="LD109" s="228"/>
      <c r="LE109" s="228"/>
      <c r="LF109" s="228"/>
      <c r="LG109" s="228"/>
      <c r="LH109" s="228"/>
      <c r="LI109" s="228"/>
      <c r="LJ109" s="228"/>
      <c r="LK109" s="228"/>
      <c r="LL109" s="228"/>
      <c r="LM109" s="228"/>
      <c r="LN109" s="228"/>
      <c r="LO109" s="228"/>
      <c r="LP109" s="228"/>
      <c r="LQ109" s="228"/>
      <c r="LR109" s="228"/>
      <c r="LS109" s="228"/>
      <c r="LT109" s="228"/>
      <c r="LU109" s="228"/>
      <c r="LV109" s="228"/>
      <c r="LW109" s="228"/>
      <c r="LX109" s="228"/>
      <c r="LY109" s="228"/>
      <c r="LZ109" s="228"/>
      <c r="MA109" s="228"/>
      <c r="MB109" s="228"/>
      <c r="MC109" s="228"/>
      <c r="MD109" s="228"/>
      <c r="ME109" s="228"/>
      <c r="MF109" s="228"/>
      <c r="MG109" s="228"/>
      <c r="MH109" s="228"/>
      <c r="MI109" s="228"/>
      <c r="MJ109" s="228"/>
      <c r="MK109" s="228"/>
      <c r="ML109" s="228"/>
      <c r="MM109" s="228"/>
      <c r="MN109" s="228"/>
      <c r="MO109" s="228"/>
      <c r="MP109" s="228"/>
      <c r="MQ109" s="228"/>
      <c r="MR109" s="228"/>
      <c r="MS109" s="228"/>
      <c r="MT109" s="228"/>
      <c r="MU109" s="228"/>
      <c r="MV109" s="228"/>
      <c r="MW109" s="228"/>
      <c r="MX109" s="228"/>
      <c r="MY109" s="228"/>
      <c r="MZ109" s="228"/>
      <c r="NA109" s="228"/>
      <c r="NB109" s="228"/>
      <c r="NC109" s="228"/>
      <c r="ND109" s="228"/>
      <c r="NE109" s="228"/>
      <c r="NF109" s="228"/>
      <c r="NG109" s="228"/>
      <c r="NH109" s="228"/>
      <c r="NI109" s="228"/>
      <c r="NJ109" s="228"/>
      <c r="NK109" s="228"/>
      <c r="NL109" s="228"/>
      <c r="NM109" s="228"/>
      <c r="NN109" s="228"/>
      <c r="NO109" s="228"/>
      <c r="NP109" s="228"/>
      <c r="NQ109" s="228"/>
      <c r="NR109" s="228"/>
      <c r="NS109" s="228"/>
      <c r="NT109" s="228"/>
      <c r="NU109" s="228"/>
      <c r="NV109" s="228"/>
      <c r="NW109" s="228"/>
      <c r="NX109" s="228"/>
      <c r="NY109" s="228"/>
      <c r="NZ109" s="228"/>
      <c r="OA109" s="228"/>
      <c r="OB109" s="228"/>
      <c r="OC109" s="228"/>
      <c r="OD109" s="228"/>
      <c r="OE109" s="228"/>
      <c r="OF109" s="228"/>
      <c r="OG109" s="228"/>
      <c r="OH109" s="228"/>
      <c r="OI109" s="228"/>
      <c r="OJ109" s="228"/>
      <c r="OK109" s="228"/>
      <c r="OL109" s="228"/>
      <c r="OM109" s="228"/>
      <c r="ON109" s="228"/>
      <c r="OO109" s="228"/>
      <c r="OP109" s="228"/>
      <c r="OQ109" s="228"/>
      <c r="OR109" s="228"/>
      <c r="OS109" s="228"/>
      <c r="OT109" s="228"/>
      <c r="OU109" s="228"/>
      <c r="OV109" s="228"/>
      <c r="OW109" s="228"/>
      <c r="OX109" s="228"/>
      <c r="OY109" s="228"/>
      <c r="OZ109" s="228"/>
      <c r="PA109" s="228"/>
      <c r="PB109" s="228"/>
      <c r="PC109" s="228"/>
      <c r="PD109" s="228"/>
      <c r="PE109" s="228"/>
      <c r="PF109" s="228"/>
      <c r="PG109" s="228"/>
      <c r="PH109" s="228"/>
      <c r="PI109" s="228"/>
      <c r="PJ109" s="228"/>
      <c r="PK109" s="228"/>
      <c r="PL109" s="228"/>
      <c r="PM109" s="228"/>
      <c r="PN109" s="228"/>
      <c r="PO109" s="228"/>
      <c r="PP109" s="228"/>
      <c r="PQ109" s="228"/>
      <c r="PR109" s="228"/>
      <c r="PS109" s="228"/>
      <c r="PT109" s="228"/>
      <c r="PU109" s="228"/>
      <c r="PV109" s="228"/>
      <c r="PW109" s="228"/>
      <c r="PX109" s="228"/>
      <c r="PY109" s="228"/>
      <c r="PZ109" s="228"/>
      <c r="QA109" s="228"/>
      <c r="QB109" s="228"/>
      <c r="QC109" s="228"/>
      <c r="QD109" s="228"/>
      <c r="QE109" s="228"/>
      <c r="QF109" s="228"/>
      <c r="QG109" s="228"/>
      <c r="QH109" s="228"/>
      <c r="QI109" s="228"/>
      <c r="QJ109" s="228"/>
      <c r="QK109" s="228"/>
      <c r="QL109" s="228"/>
      <c r="QM109" s="228"/>
      <c r="QN109" s="228"/>
      <c r="QO109" s="228"/>
      <c r="QP109" s="228"/>
      <c r="QQ109" s="228"/>
      <c r="QR109" s="228"/>
      <c r="QS109" s="228"/>
      <c r="QT109" s="228"/>
      <c r="QU109" s="228"/>
      <c r="QV109" s="228"/>
      <c r="QW109" s="228"/>
      <c r="QX109" s="228"/>
      <c r="QY109" s="228"/>
      <c r="QZ109" s="228"/>
      <c r="RA109" s="228"/>
      <c r="RB109" s="228"/>
      <c r="RC109" s="228"/>
      <c r="RD109" s="228"/>
      <c r="RE109" s="228"/>
      <c r="RF109" s="228"/>
      <c r="RG109" s="228"/>
      <c r="RH109" s="228"/>
      <c r="RI109" s="228"/>
      <c r="RJ109" s="228"/>
      <c r="RK109" s="228"/>
      <c r="RL109" s="228"/>
      <c r="RM109" s="228"/>
      <c r="RN109" s="228"/>
      <c r="RO109" s="228"/>
      <c r="RP109" s="228"/>
      <c r="RQ109" s="228"/>
      <c r="RR109" s="228"/>
      <c r="RS109" s="228"/>
      <c r="RT109" s="228"/>
      <c r="RU109" s="228"/>
      <c r="RV109" s="228"/>
      <c r="RW109" s="228"/>
      <c r="RX109" s="228"/>
      <c r="RY109" s="228"/>
      <c r="RZ109" s="228"/>
      <c r="SA109" s="228"/>
      <c r="SB109" s="228"/>
      <c r="SC109" s="228"/>
      <c r="SD109" s="228"/>
      <c r="SE109" s="228"/>
      <c r="SF109" s="228"/>
      <c r="SG109" s="228"/>
      <c r="SH109" s="228"/>
      <c r="SI109" s="228"/>
      <c r="SJ109" s="228"/>
      <c r="SK109" s="228"/>
      <c r="SL109" s="228"/>
      <c r="SM109" s="228"/>
      <c r="SN109" s="228"/>
      <c r="SO109" s="228"/>
      <c r="SP109" s="228"/>
      <c r="SQ109" s="228"/>
      <c r="SR109" s="228"/>
      <c r="SS109" s="228"/>
      <c r="ST109" s="228"/>
      <c r="SU109" s="228"/>
      <c r="SV109" s="228"/>
      <c r="SW109" s="228"/>
      <c r="SX109" s="228"/>
      <c r="SY109" s="228"/>
      <c r="SZ109" s="228"/>
      <c r="TA109" s="228"/>
      <c r="TB109" s="228"/>
      <c r="TC109" s="228"/>
      <c r="TD109" s="228"/>
      <c r="TE109" s="228"/>
      <c r="TF109" s="228"/>
      <c r="TG109" s="228"/>
      <c r="TH109" s="228"/>
      <c r="TI109" s="228"/>
      <c r="TJ109" s="228"/>
      <c r="TK109" s="228"/>
      <c r="TL109" s="228"/>
      <c r="TM109" s="228"/>
      <c r="TN109" s="228"/>
      <c r="TO109" s="228"/>
      <c r="TP109" s="228"/>
      <c r="TQ109" s="228"/>
      <c r="TR109" s="228"/>
      <c r="TS109" s="228"/>
      <c r="TT109" s="228"/>
      <c r="TU109" s="228"/>
    </row>
    <row r="110" spans="1:541" outlineLevel="1" x14ac:dyDescent="0.25">
      <c r="A110" s="283">
        <v>1</v>
      </c>
      <c r="B110" s="272" t="s">
        <v>1066</v>
      </c>
      <c r="C110" s="272" t="s">
        <v>865</v>
      </c>
      <c r="D110" s="272" t="s">
        <v>1175</v>
      </c>
      <c r="E110" s="258" t="s">
        <v>803</v>
      </c>
      <c r="F110" s="257" t="s">
        <v>0</v>
      </c>
      <c r="G110" s="257" t="s">
        <v>1171</v>
      </c>
      <c r="H110" s="257" t="s">
        <v>1166</v>
      </c>
      <c r="I110" s="273" t="s">
        <v>1344</v>
      </c>
      <c r="J110" s="273" t="s">
        <v>1345</v>
      </c>
      <c r="K110" s="257"/>
      <c r="L110" s="257"/>
      <c r="M110" s="257" t="s">
        <v>365</v>
      </c>
      <c r="N110" s="258" t="s">
        <v>1159</v>
      </c>
      <c r="O110" s="258" t="s">
        <v>1160</v>
      </c>
      <c r="P110" s="258" t="s">
        <v>1156</v>
      </c>
      <c r="Q110" s="274"/>
    </row>
    <row r="111" spans="1:541" ht="15.75" outlineLevel="1" thickBot="1" x14ac:dyDescent="0.3">
      <c r="A111" s="275">
        <v>2</v>
      </c>
      <c r="B111" s="276" t="s">
        <v>1066</v>
      </c>
      <c r="C111" s="276" t="s">
        <v>865</v>
      </c>
      <c r="D111" s="276" t="s">
        <v>1112</v>
      </c>
      <c r="E111" s="224" t="s">
        <v>803</v>
      </c>
      <c r="F111" s="251" t="s">
        <v>0</v>
      </c>
      <c r="G111" s="251" t="s">
        <v>1171</v>
      </c>
      <c r="H111" s="251" t="s">
        <v>1166</v>
      </c>
      <c r="I111" s="277" t="s">
        <v>851</v>
      </c>
      <c r="J111" s="277" t="s">
        <v>1234</v>
      </c>
      <c r="K111" s="251"/>
      <c r="L111" s="251"/>
      <c r="M111" s="251" t="s">
        <v>365</v>
      </c>
      <c r="N111" s="224" t="s">
        <v>1159</v>
      </c>
      <c r="O111" s="224" t="s">
        <v>1160</v>
      </c>
      <c r="P111" s="224" t="s">
        <v>1156</v>
      </c>
      <c r="Q111" s="278"/>
    </row>
    <row r="112" spans="1:541" s="201" customFormat="1" ht="15.75" thickBot="1" x14ac:dyDescent="0.3">
      <c r="A112" s="279"/>
      <c r="B112" s="280"/>
      <c r="C112" s="253"/>
      <c r="D112" s="225"/>
      <c r="E112" s="253"/>
      <c r="F112" s="254"/>
      <c r="G112" s="254"/>
      <c r="H112" s="254"/>
      <c r="I112" s="253"/>
      <c r="J112" s="253"/>
      <c r="K112" s="253"/>
      <c r="L112" s="253"/>
      <c r="M112" s="254"/>
      <c r="N112" s="253"/>
      <c r="O112" s="253"/>
      <c r="P112" s="253"/>
      <c r="Q112" s="255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  <c r="AE112" s="228"/>
      <c r="AF112" s="228"/>
      <c r="AG112" s="228"/>
      <c r="AH112" s="228"/>
      <c r="AI112" s="228"/>
      <c r="AJ112" s="228"/>
      <c r="AK112" s="228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 s="228"/>
      <c r="AX112" s="228"/>
      <c r="AY112" s="228"/>
      <c r="AZ112" s="228"/>
      <c r="BA112" s="228"/>
      <c r="BB112" s="228"/>
      <c r="BC112" s="228"/>
      <c r="BD112" s="228"/>
      <c r="BE112" s="228"/>
      <c r="BF112" s="228"/>
      <c r="BG112" s="228"/>
      <c r="BH112" s="228"/>
      <c r="BI112" s="228"/>
      <c r="BJ112" s="228"/>
      <c r="BK112" s="228"/>
      <c r="BL112" s="228"/>
      <c r="BM112" s="228"/>
      <c r="BN112" s="228"/>
      <c r="BO112" s="228"/>
      <c r="BP112" s="228"/>
      <c r="BQ112" s="228"/>
      <c r="BR112" s="228"/>
      <c r="BS112" s="228"/>
      <c r="BT112" s="228"/>
      <c r="BU112" s="228"/>
      <c r="BV112" s="228"/>
      <c r="BW112" s="228"/>
      <c r="BX112" s="228"/>
      <c r="BY112" s="228"/>
      <c r="BZ112" s="228"/>
      <c r="CA112" s="228"/>
      <c r="CB112" s="228"/>
      <c r="CC112" s="228"/>
      <c r="CD112" s="228"/>
      <c r="CE112" s="228"/>
      <c r="CF112" s="228"/>
      <c r="CG112" s="228"/>
      <c r="CH112" s="228"/>
      <c r="CI112" s="228"/>
      <c r="CJ112" s="228"/>
      <c r="CK112" s="228"/>
      <c r="CL112" s="228"/>
      <c r="CM112" s="228"/>
      <c r="CN112" s="228"/>
      <c r="CO112" s="228"/>
      <c r="CP112" s="228"/>
      <c r="CQ112" s="228"/>
      <c r="CR112" s="228"/>
      <c r="CS112" s="228"/>
      <c r="CT112" s="228"/>
      <c r="CU112" s="228"/>
      <c r="CV112" s="228"/>
      <c r="CW112" s="228"/>
      <c r="CX112" s="228"/>
      <c r="CY112" s="228"/>
      <c r="CZ112" s="228"/>
      <c r="DA112" s="228"/>
      <c r="DB112" s="228"/>
      <c r="DC112" s="228"/>
      <c r="DD112" s="228"/>
      <c r="DE112" s="228"/>
      <c r="DF112" s="228"/>
      <c r="DG112" s="228"/>
      <c r="DH112" s="228"/>
      <c r="DI112" s="228"/>
      <c r="DJ112" s="228"/>
      <c r="DK112" s="228"/>
      <c r="DL112" s="228"/>
      <c r="DM112" s="228"/>
      <c r="DN112" s="228"/>
      <c r="DO112" s="228"/>
      <c r="DP112" s="228"/>
      <c r="DQ112" s="228"/>
      <c r="DR112" s="228"/>
      <c r="DS112" s="228"/>
      <c r="DT112" s="228"/>
      <c r="DU112" s="228"/>
      <c r="DV112" s="228"/>
      <c r="DW112" s="228"/>
      <c r="DX112" s="228"/>
      <c r="DY112" s="228"/>
      <c r="DZ112" s="228"/>
      <c r="EA112" s="228"/>
      <c r="EB112" s="228"/>
      <c r="EC112" s="228"/>
      <c r="ED112" s="228"/>
      <c r="EE112" s="228"/>
      <c r="EF112" s="228"/>
      <c r="EG112" s="228"/>
      <c r="EH112" s="228"/>
      <c r="EI112" s="228"/>
      <c r="EJ112" s="228"/>
      <c r="EK112" s="228"/>
      <c r="EL112" s="228"/>
      <c r="EM112" s="228"/>
      <c r="EN112" s="228"/>
      <c r="EO112" s="228"/>
      <c r="EP112" s="228"/>
      <c r="EQ112" s="228"/>
      <c r="ER112" s="228"/>
      <c r="ES112" s="228"/>
      <c r="ET112" s="228"/>
      <c r="EU112" s="228"/>
      <c r="EV112" s="228"/>
      <c r="EW112" s="228"/>
      <c r="EX112" s="228"/>
      <c r="EY112" s="228"/>
      <c r="EZ112" s="228"/>
      <c r="FA112" s="228"/>
      <c r="FB112" s="228"/>
      <c r="FC112" s="228"/>
      <c r="FD112" s="228"/>
      <c r="FE112" s="228"/>
      <c r="FF112" s="228"/>
      <c r="FG112" s="228"/>
      <c r="FH112" s="228"/>
      <c r="FI112" s="228"/>
      <c r="FJ112" s="228"/>
      <c r="FK112" s="228"/>
      <c r="FL112" s="228"/>
      <c r="FM112" s="228"/>
      <c r="FN112" s="228"/>
      <c r="FO112" s="228"/>
      <c r="FP112" s="228"/>
      <c r="FQ112" s="228"/>
      <c r="FR112" s="228"/>
      <c r="FS112" s="228"/>
      <c r="FT112" s="228"/>
      <c r="FU112" s="228"/>
      <c r="FV112" s="228"/>
      <c r="FW112" s="228"/>
      <c r="FX112" s="228"/>
      <c r="FY112" s="228"/>
      <c r="FZ112" s="228"/>
      <c r="GA112" s="228"/>
      <c r="GB112" s="228"/>
      <c r="GC112" s="228"/>
      <c r="GD112" s="228"/>
      <c r="GE112" s="228"/>
      <c r="GF112" s="228"/>
      <c r="GG112" s="228"/>
      <c r="GH112" s="228"/>
      <c r="GI112" s="228"/>
      <c r="GJ112" s="228"/>
      <c r="GK112" s="228"/>
      <c r="GL112" s="228"/>
      <c r="GM112" s="228"/>
      <c r="GN112" s="228"/>
      <c r="GO112" s="228"/>
      <c r="GP112" s="228"/>
      <c r="GQ112" s="228"/>
      <c r="GR112" s="228"/>
      <c r="GS112" s="228"/>
      <c r="GT112" s="228"/>
      <c r="GU112" s="228"/>
      <c r="GV112" s="228"/>
      <c r="GW112" s="228"/>
      <c r="GX112" s="228"/>
      <c r="GY112" s="228"/>
      <c r="GZ112" s="228"/>
      <c r="HA112" s="228"/>
      <c r="HB112" s="228"/>
      <c r="HC112" s="228"/>
      <c r="HD112" s="228"/>
      <c r="HE112" s="228"/>
      <c r="HF112" s="228"/>
      <c r="HG112" s="228"/>
      <c r="HH112" s="228"/>
      <c r="HI112" s="228"/>
      <c r="HJ112" s="228"/>
      <c r="HK112" s="228"/>
      <c r="HL112" s="228"/>
      <c r="HM112" s="228"/>
      <c r="HN112" s="228"/>
      <c r="HO112" s="228"/>
      <c r="HP112" s="228"/>
      <c r="HQ112" s="228"/>
      <c r="HR112" s="228"/>
      <c r="HS112" s="228"/>
      <c r="HT112" s="228"/>
      <c r="HU112" s="228"/>
      <c r="HV112" s="228"/>
      <c r="HW112" s="228"/>
      <c r="HX112" s="228"/>
      <c r="HY112" s="228"/>
      <c r="HZ112" s="228"/>
      <c r="IA112" s="228"/>
      <c r="IB112" s="228"/>
      <c r="IC112" s="228"/>
      <c r="ID112" s="228"/>
      <c r="IE112" s="228"/>
      <c r="IF112" s="228"/>
      <c r="IG112" s="228"/>
      <c r="IH112" s="228"/>
      <c r="II112" s="228"/>
      <c r="IJ112" s="228"/>
      <c r="IK112" s="228"/>
      <c r="IL112" s="228"/>
      <c r="IM112" s="228"/>
      <c r="IN112" s="228"/>
      <c r="IO112" s="228"/>
      <c r="IP112" s="228"/>
      <c r="IQ112" s="228"/>
      <c r="IR112" s="228"/>
      <c r="IS112" s="228"/>
      <c r="IT112" s="228"/>
      <c r="IU112" s="228"/>
      <c r="IV112" s="228"/>
      <c r="IW112" s="228"/>
      <c r="IX112" s="228"/>
      <c r="IY112" s="228"/>
      <c r="IZ112" s="228"/>
      <c r="JA112" s="228"/>
      <c r="JB112" s="228"/>
      <c r="JC112" s="228"/>
      <c r="JD112" s="228"/>
      <c r="JE112" s="228"/>
      <c r="JF112" s="228"/>
      <c r="JG112" s="228"/>
      <c r="JH112" s="228"/>
      <c r="JI112" s="228"/>
      <c r="JJ112" s="228"/>
      <c r="JK112" s="228"/>
      <c r="JL112" s="228"/>
      <c r="JM112" s="228"/>
      <c r="JN112" s="228"/>
      <c r="JO112" s="228"/>
      <c r="JP112" s="228"/>
      <c r="JQ112" s="228"/>
      <c r="JR112" s="228"/>
      <c r="JS112" s="228"/>
      <c r="JT112" s="228"/>
      <c r="JU112" s="228"/>
      <c r="JV112" s="228"/>
      <c r="JW112" s="228"/>
      <c r="JX112" s="228"/>
      <c r="JY112" s="228"/>
      <c r="JZ112" s="228"/>
      <c r="KA112" s="228"/>
      <c r="KB112" s="228"/>
      <c r="KC112" s="228"/>
      <c r="KD112" s="228"/>
      <c r="KE112" s="228"/>
      <c r="KF112" s="228"/>
      <c r="KG112" s="228"/>
      <c r="KH112" s="228"/>
      <c r="KI112" s="228"/>
      <c r="KJ112" s="228"/>
      <c r="KK112" s="228"/>
      <c r="KL112" s="228"/>
      <c r="KM112" s="228"/>
      <c r="KN112" s="228"/>
      <c r="KO112" s="228"/>
      <c r="KP112" s="228"/>
      <c r="KQ112" s="228"/>
      <c r="KR112" s="228"/>
      <c r="KS112" s="228"/>
      <c r="KT112" s="228"/>
      <c r="KU112" s="228"/>
      <c r="KV112" s="228"/>
      <c r="KW112" s="228"/>
      <c r="KX112" s="228"/>
      <c r="KY112" s="228"/>
      <c r="KZ112" s="228"/>
      <c r="LA112" s="228"/>
      <c r="LB112" s="228"/>
      <c r="LC112" s="228"/>
      <c r="LD112" s="228"/>
      <c r="LE112" s="228"/>
      <c r="LF112" s="228"/>
      <c r="LG112" s="228"/>
      <c r="LH112" s="228"/>
      <c r="LI112" s="228"/>
      <c r="LJ112" s="228"/>
      <c r="LK112" s="228"/>
      <c r="LL112" s="228"/>
      <c r="LM112" s="228"/>
      <c r="LN112" s="228"/>
      <c r="LO112" s="228"/>
      <c r="LP112" s="228"/>
      <c r="LQ112" s="228"/>
      <c r="LR112" s="228"/>
      <c r="LS112" s="228"/>
      <c r="LT112" s="228"/>
      <c r="LU112" s="228"/>
      <c r="LV112" s="228"/>
      <c r="LW112" s="228"/>
      <c r="LX112" s="228"/>
      <c r="LY112" s="228"/>
      <c r="LZ112" s="228"/>
      <c r="MA112" s="228"/>
      <c r="MB112" s="228"/>
      <c r="MC112" s="228"/>
      <c r="MD112" s="228"/>
      <c r="ME112" s="228"/>
      <c r="MF112" s="228"/>
      <c r="MG112" s="228"/>
      <c r="MH112" s="228"/>
      <c r="MI112" s="228"/>
      <c r="MJ112" s="228"/>
      <c r="MK112" s="228"/>
      <c r="ML112" s="228"/>
      <c r="MM112" s="228"/>
      <c r="MN112" s="228"/>
      <c r="MO112" s="228"/>
      <c r="MP112" s="228"/>
      <c r="MQ112" s="228"/>
      <c r="MR112" s="228"/>
      <c r="MS112" s="228"/>
      <c r="MT112" s="228"/>
      <c r="MU112" s="228"/>
      <c r="MV112" s="228"/>
      <c r="MW112" s="228"/>
      <c r="MX112" s="228"/>
      <c r="MY112" s="228"/>
      <c r="MZ112" s="228"/>
      <c r="NA112" s="228"/>
      <c r="NB112" s="228"/>
      <c r="NC112" s="228"/>
      <c r="ND112" s="228"/>
      <c r="NE112" s="228"/>
      <c r="NF112" s="228"/>
      <c r="NG112" s="228"/>
      <c r="NH112" s="228"/>
      <c r="NI112" s="228"/>
      <c r="NJ112" s="228"/>
      <c r="NK112" s="228"/>
      <c r="NL112" s="228"/>
      <c r="NM112" s="228"/>
      <c r="NN112" s="228"/>
      <c r="NO112" s="228"/>
      <c r="NP112" s="228"/>
      <c r="NQ112" s="228"/>
      <c r="NR112" s="228"/>
      <c r="NS112" s="228"/>
      <c r="NT112" s="228"/>
      <c r="NU112" s="228"/>
      <c r="NV112" s="228"/>
      <c r="NW112" s="228"/>
      <c r="NX112" s="228"/>
      <c r="NY112" s="228"/>
      <c r="NZ112" s="228"/>
      <c r="OA112" s="228"/>
      <c r="OB112" s="228"/>
      <c r="OC112" s="228"/>
      <c r="OD112" s="228"/>
      <c r="OE112" s="228"/>
      <c r="OF112" s="228"/>
      <c r="OG112" s="228"/>
      <c r="OH112" s="228"/>
      <c r="OI112" s="228"/>
      <c r="OJ112" s="228"/>
      <c r="OK112" s="228"/>
      <c r="OL112" s="228"/>
      <c r="OM112" s="228"/>
      <c r="ON112" s="228"/>
      <c r="OO112" s="228"/>
      <c r="OP112" s="228"/>
      <c r="OQ112" s="228"/>
      <c r="OR112" s="228"/>
      <c r="OS112" s="228"/>
      <c r="OT112" s="228"/>
      <c r="OU112" s="228"/>
      <c r="OV112" s="228"/>
      <c r="OW112" s="228"/>
      <c r="OX112" s="228"/>
      <c r="OY112" s="228"/>
      <c r="OZ112" s="228"/>
      <c r="PA112" s="228"/>
      <c r="PB112" s="228"/>
      <c r="PC112" s="228"/>
      <c r="PD112" s="228"/>
      <c r="PE112" s="228"/>
      <c r="PF112" s="228"/>
      <c r="PG112" s="228"/>
      <c r="PH112" s="228"/>
      <c r="PI112" s="228"/>
      <c r="PJ112" s="228"/>
      <c r="PK112" s="228"/>
      <c r="PL112" s="228"/>
      <c r="PM112" s="228"/>
      <c r="PN112" s="228"/>
      <c r="PO112" s="228"/>
      <c r="PP112" s="228"/>
      <c r="PQ112" s="228"/>
      <c r="PR112" s="228"/>
      <c r="PS112" s="228"/>
      <c r="PT112" s="228"/>
      <c r="PU112" s="228"/>
      <c r="PV112" s="228"/>
      <c r="PW112" s="228"/>
      <c r="PX112" s="228"/>
      <c r="PY112" s="228"/>
      <c r="PZ112" s="228"/>
      <c r="QA112" s="228"/>
      <c r="QB112" s="228"/>
      <c r="QC112" s="228"/>
      <c r="QD112" s="228"/>
      <c r="QE112" s="228"/>
      <c r="QF112" s="228"/>
      <c r="QG112" s="228"/>
      <c r="QH112" s="228"/>
      <c r="QI112" s="228"/>
      <c r="QJ112" s="228"/>
      <c r="QK112" s="228"/>
      <c r="QL112" s="228"/>
      <c r="QM112" s="228"/>
      <c r="QN112" s="228"/>
      <c r="QO112" s="228"/>
      <c r="QP112" s="228"/>
      <c r="QQ112" s="228"/>
      <c r="QR112" s="228"/>
      <c r="QS112" s="228"/>
      <c r="QT112" s="228"/>
      <c r="QU112" s="228"/>
      <c r="QV112" s="228"/>
      <c r="QW112" s="228"/>
      <c r="QX112" s="228"/>
      <c r="QY112" s="228"/>
      <c r="QZ112" s="228"/>
      <c r="RA112" s="228"/>
      <c r="RB112" s="228"/>
      <c r="RC112" s="228"/>
      <c r="RD112" s="228"/>
      <c r="RE112" s="228"/>
      <c r="RF112" s="228"/>
      <c r="RG112" s="228"/>
      <c r="RH112" s="228"/>
      <c r="RI112" s="228"/>
      <c r="RJ112" s="228"/>
      <c r="RK112" s="228"/>
      <c r="RL112" s="228"/>
      <c r="RM112" s="228"/>
      <c r="RN112" s="228"/>
      <c r="RO112" s="228"/>
      <c r="RP112" s="228"/>
      <c r="RQ112" s="228"/>
      <c r="RR112" s="228"/>
      <c r="RS112" s="228"/>
      <c r="RT112" s="228"/>
      <c r="RU112" s="228"/>
      <c r="RV112" s="228"/>
      <c r="RW112" s="228"/>
      <c r="RX112" s="228"/>
      <c r="RY112" s="228"/>
      <c r="RZ112" s="228"/>
      <c r="SA112" s="228"/>
      <c r="SB112" s="228"/>
      <c r="SC112" s="228"/>
      <c r="SD112" s="228"/>
      <c r="SE112" s="228"/>
      <c r="SF112" s="228"/>
      <c r="SG112" s="228"/>
      <c r="SH112" s="228"/>
      <c r="SI112" s="228"/>
      <c r="SJ112" s="228"/>
      <c r="SK112" s="228"/>
      <c r="SL112" s="228"/>
      <c r="SM112" s="228"/>
      <c r="SN112" s="228"/>
      <c r="SO112" s="228"/>
      <c r="SP112" s="228"/>
      <c r="SQ112" s="228"/>
      <c r="SR112" s="228"/>
      <c r="SS112" s="228"/>
      <c r="ST112" s="228"/>
      <c r="SU112" s="228"/>
      <c r="SV112" s="228"/>
      <c r="SW112" s="228"/>
      <c r="SX112" s="228"/>
      <c r="SY112" s="228"/>
      <c r="SZ112" s="228"/>
      <c r="TA112" s="228"/>
      <c r="TB112" s="228"/>
      <c r="TC112" s="228"/>
      <c r="TD112" s="228"/>
      <c r="TE112" s="228"/>
      <c r="TF112" s="228"/>
      <c r="TG112" s="228"/>
      <c r="TH112" s="228"/>
      <c r="TI112" s="228"/>
      <c r="TJ112" s="228"/>
      <c r="TK112" s="228"/>
      <c r="TL112" s="228"/>
      <c r="TM112" s="228"/>
      <c r="TN112" s="228"/>
      <c r="TO112" s="228"/>
      <c r="TP112" s="228"/>
      <c r="TQ112" s="228"/>
      <c r="TR112" s="228"/>
      <c r="TS112" s="228"/>
      <c r="TT112" s="228"/>
      <c r="TU112" s="228"/>
    </row>
    <row r="113" spans="1:541" outlineLevel="1" x14ac:dyDescent="0.25">
      <c r="A113" s="230">
        <v>1</v>
      </c>
      <c r="B113" s="195" t="s">
        <v>1065</v>
      </c>
      <c r="C113" s="195" t="s">
        <v>1097</v>
      </c>
      <c r="D113" s="272" t="s">
        <v>1187</v>
      </c>
      <c r="E113" s="258" t="s">
        <v>100</v>
      </c>
      <c r="F113" s="257" t="s">
        <v>0</v>
      </c>
      <c r="G113" s="257" t="s">
        <v>1172</v>
      </c>
      <c r="H113" s="257" t="s">
        <v>1026</v>
      </c>
      <c r="I113" s="273" t="s">
        <v>1312</v>
      </c>
      <c r="J113" s="273" t="s">
        <v>1313</v>
      </c>
      <c r="K113" s="257"/>
      <c r="L113" s="257"/>
      <c r="M113" s="257" t="s">
        <v>718</v>
      </c>
      <c r="N113" s="258" t="s">
        <v>1159</v>
      </c>
      <c r="O113" s="258" t="s">
        <v>1160</v>
      </c>
      <c r="P113" s="258" t="s">
        <v>1156</v>
      </c>
      <c r="Q113" s="274"/>
    </row>
    <row r="114" spans="1:541" outlineLevel="1" x14ac:dyDescent="0.25">
      <c r="A114" s="232">
        <v>2</v>
      </c>
      <c r="B114" s="193" t="s">
        <v>1065</v>
      </c>
      <c r="C114" s="193" t="s">
        <v>1098</v>
      </c>
      <c r="D114" s="193" t="s">
        <v>1176</v>
      </c>
      <c r="E114" s="5" t="s">
        <v>100</v>
      </c>
      <c r="F114" s="213" t="s">
        <v>1101</v>
      </c>
      <c r="G114" s="213" t="s">
        <v>1172</v>
      </c>
      <c r="H114" s="213" t="s">
        <v>1026</v>
      </c>
      <c r="I114" s="212" t="s">
        <v>1312</v>
      </c>
      <c r="J114" s="212" t="s">
        <v>1313</v>
      </c>
      <c r="K114" s="213"/>
      <c r="L114" s="213"/>
      <c r="M114" s="213" t="s">
        <v>718</v>
      </c>
      <c r="N114" s="213" t="s">
        <v>1161</v>
      </c>
      <c r="O114" s="213" t="s">
        <v>1158</v>
      </c>
      <c r="P114" s="213" t="s">
        <v>1162</v>
      </c>
      <c r="Q114" s="217"/>
    </row>
    <row r="115" spans="1:541" ht="15.75" outlineLevel="1" thickBot="1" x14ac:dyDescent="0.3">
      <c r="A115" s="275">
        <v>3</v>
      </c>
      <c r="B115" s="276" t="s">
        <v>1065</v>
      </c>
      <c r="C115" s="276" t="s">
        <v>1099</v>
      </c>
      <c r="D115" s="276" t="s">
        <v>1100</v>
      </c>
      <c r="E115" s="224" t="s">
        <v>803</v>
      </c>
      <c r="F115" s="251" t="s">
        <v>1102</v>
      </c>
      <c r="G115" s="251" t="s">
        <v>1172</v>
      </c>
      <c r="H115" s="251" t="s">
        <v>1026</v>
      </c>
      <c r="I115" s="277" t="s">
        <v>1312</v>
      </c>
      <c r="J115" s="277" t="s">
        <v>1313</v>
      </c>
      <c r="K115" s="251"/>
      <c r="L115" s="251"/>
      <c r="M115" s="251" t="s">
        <v>718</v>
      </c>
      <c r="N115" s="251" t="s">
        <v>1103</v>
      </c>
      <c r="O115" s="251" t="s">
        <v>667</v>
      </c>
      <c r="P115" s="251" t="s">
        <v>568</v>
      </c>
      <c r="Q115" s="278"/>
    </row>
    <row r="116" spans="1:541" s="201" customFormat="1" ht="15.75" thickBot="1" x14ac:dyDescent="0.3">
      <c r="A116" s="279"/>
      <c r="B116" s="280"/>
      <c r="C116" s="253"/>
      <c r="D116" s="253"/>
      <c r="E116" s="253"/>
      <c r="F116" s="254"/>
      <c r="G116" s="254"/>
      <c r="H116" s="254"/>
      <c r="I116" s="253"/>
      <c r="J116" s="253"/>
      <c r="K116" s="253"/>
      <c r="L116" s="253"/>
      <c r="M116" s="254"/>
      <c r="N116" s="253"/>
      <c r="O116" s="253"/>
      <c r="P116" s="253"/>
      <c r="Q116" s="255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  <c r="AE116" s="228"/>
      <c r="AF116" s="228"/>
      <c r="AG116" s="228"/>
      <c r="AH116" s="228"/>
      <c r="AI116" s="228"/>
      <c r="AJ116" s="228"/>
      <c r="AK116" s="228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 s="228"/>
      <c r="AX116" s="228"/>
      <c r="AY116" s="228"/>
      <c r="AZ116" s="228"/>
      <c r="BA116" s="228"/>
      <c r="BB116" s="228"/>
      <c r="BC116" s="228"/>
      <c r="BD116" s="228"/>
      <c r="BE116" s="228"/>
      <c r="BF116" s="228"/>
      <c r="BG116" s="228"/>
      <c r="BH116" s="228"/>
      <c r="BI116" s="228"/>
      <c r="BJ116" s="228"/>
      <c r="BK116" s="228"/>
      <c r="BL116" s="228"/>
      <c r="BM116" s="228"/>
      <c r="BN116" s="228"/>
      <c r="BO116" s="228"/>
      <c r="BP116" s="228"/>
      <c r="BQ116" s="228"/>
      <c r="BR116" s="228"/>
      <c r="BS116" s="228"/>
      <c r="BT116" s="228"/>
      <c r="BU116" s="228"/>
      <c r="BV116" s="228"/>
      <c r="BW116" s="228"/>
      <c r="BX116" s="228"/>
      <c r="BY116" s="228"/>
      <c r="BZ116" s="228"/>
      <c r="CA116" s="228"/>
      <c r="CB116" s="228"/>
      <c r="CC116" s="228"/>
      <c r="CD116" s="228"/>
      <c r="CE116" s="228"/>
      <c r="CF116" s="228"/>
      <c r="CG116" s="228"/>
      <c r="CH116" s="228"/>
      <c r="CI116" s="228"/>
      <c r="CJ116" s="228"/>
      <c r="CK116" s="228"/>
      <c r="CL116" s="228"/>
      <c r="CM116" s="228"/>
      <c r="CN116" s="228"/>
      <c r="CO116" s="228"/>
      <c r="CP116" s="228"/>
      <c r="CQ116" s="228"/>
      <c r="CR116" s="228"/>
      <c r="CS116" s="228"/>
      <c r="CT116" s="228"/>
      <c r="CU116" s="228"/>
      <c r="CV116" s="228"/>
      <c r="CW116" s="228"/>
      <c r="CX116" s="228"/>
      <c r="CY116" s="228"/>
      <c r="CZ116" s="228"/>
      <c r="DA116" s="228"/>
      <c r="DB116" s="228"/>
      <c r="DC116" s="228"/>
      <c r="DD116" s="228"/>
      <c r="DE116" s="228"/>
      <c r="DF116" s="228"/>
      <c r="DG116" s="228"/>
      <c r="DH116" s="228"/>
      <c r="DI116" s="228"/>
      <c r="DJ116" s="228"/>
      <c r="DK116" s="228"/>
      <c r="DL116" s="228"/>
      <c r="DM116" s="228"/>
      <c r="DN116" s="228"/>
      <c r="DO116" s="228"/>
      <c r="DP116" s="228"/>
      <c r="DQ116" s="228"/>
      <c r="DR116" s="228"/>
      <c r="DS116" s="228"/>
      <c r="DT116" s="228"/>
      <c r="DU116" s="228"/>
      <c r="DV116" s="228"/>
      <c r="DW116" s="228"/>
      <c r="DX116" s="228"/>
      <c r="DY116" s="228"/>
      <c r="DZ116" s="228"/>
      <c r="EA116" s="228"/>
      <c r="EB116" s="228"/>
      <c r="EC116" s="228"/>
      <c r="ED116" s="228"/>
      <c r="EE116" s="228"/>
      <c r="EF116" s="228"/>
      <c r="EG116" s="228"/>
      <c r="EH116" s="228"/>
      <c r="EI116" s="228"/>
      <c r="EJ116" s="228"/>
      <c r="EK116" s="228"/>
      <c r="EL116" s="228"/>
      <c r="EM116" s="228"/>
      <c r="EN116" s="228"/>
      <c r="EO116" s="228"/>
      <c r="EP116" s="228"/>
      <c r="EQ116" s="228"/>
      <c r="ER116" s="228"/>
      <c r="ES116" s="228"/>
      <c r="ET116" s="228"/>
      <c r="EU116" s="228"/>
      <c r="EV116" s="228"/>
      <c r="EW116" s="228"/>
      <c r="EX116" s="228"/>
      <c r="EY116" s="228"/>
      <c r="EZ116" s="228"/>
      <c r="FA116" s="228"/>
      <c r="FB116" s="228"/>
      <c r="FC116" s="228"/>
      <c r="FD116" s="228"/>
      <c r="FE116" s="228"/>
      <c r="FF116" s="228"/>
      <c r="FG116" s="228"/>
      <c r="FH116" s="228"/>
      <c r="FI116" s="228"/>
      <c r="FJ116" s="228"/>
      <c r="FK116" s="228"/>
      <c r="FL116" s="228"/>
      <c r="FM116" s="228"/>
      <c r="FN116" s="228"/>
      <c r="FO116" s="228"/>
      <c r="FP116" s="228"/>
      <c r="FQ116" s="228"/>
      <c r="FR116" s="228"/>
      <c r="FS116" s="228"/>
      <c r="FT116" s="228"/>
      <c r="FU116" s="228"/>
      <c r="FV116" s="228"/>
      <c r="FW116" s="228"/>
      <c r="FX116" s="228"/>
      <c r="FY116" s="228"/>
      <c r="FZ116" s="228"/>
      <c r="GA116" s="228"/>
      <c r="GB116" s="228"/>
      <c r="GC116" s="228"/>
      <c r="GD116" s="228"/>
      <c r="GE116" s="228"/>
      <c r="GF116" s="228"/>
      <c r="GG116" s="228"/>
      <c r="GH116" s="228"/>
      <c r="GI116" s="228"/>
      <c r="GJ116" s="228"/>
      <c r="GK116" s="228"/>
      <c r="GL116" s="228"/>
      <c r="GM116" s="228"/>
      <c r="GN116" s="228"/>
      <c r="GO116" s="228"/>
      <c r="GP116" s="228"/>
      <c r="GQ116" s="228"/>
      <c r="GR116" s="228"/>
      <c r="GS116" s="228"/>
      <c r="GT116" s="228"/>
      <c r="GU116" s="228"/>
      <c r="GV116" s="228"/>
      <c r="GW116" s="228"/>
      <c r="GX116" s="228"/>
      <c r="GY116" s="228"/>
      <c r="GZ116" s="228"/>
      <c r="HA116" s="228"/>
      <c r="HB116" s="228"/>
      <c r="HC116" s="228"/>
      <c r="HD116" s="228"/>
      <c r="HE116" s="228"/>
      <c r="HF116" s="228"/>
      <c r="HG116" s="228"/>
      <c r="HH116" s="228"/>
      <c r="HI116" s="228"/>
      <c r="HJ116" s="228"/>
      <c r="HK116" s="228"/>
      <c r="HL116" s="228"/>
      <c r="HM116" s="228"/>
      <c r="HN116" s="228"/>
      <c r="HO116" s="228"/>
      <c r="HP116" s="228"/>
      <c r="HQ116" s="228"/>
      <c r="HR116" s="228"/>
      <c r="HS116" s="228"/>
      <c r="HT116" s="228"/>
      <c r="HU116" s="228"/>
      <c r="HV116" s="228"/>
      <c r="HW116" s="228"/>
      <c r="HX116" s="228"/>
      <c r="HY116" s="228"/>
      <c r="HZ116" s="228"/>
      <c r="IA116" s="228"/>
      <c r="IB116" s="228"/>
      <c r="IC116" s="228"/>
      <c r="ID116" s="228"/>
      <c r="IE116" s="228"/>
      <c r="IF116" s="228"/>
      <c r="IG116" s="228"/>
      <c r="IH116" s="228"/>
      <c r="II116" s="228"/>
      <c r="IJ116" s="228"/>
      <c r="IK116" s="228"/>
      <c r="IL116" s="228"/>
      <c r="IM116" s="228"/>
      <c r="IN116" s="228"/>
      <c r="IO116" s="228"/>
      <c r="IP116" s="228"/>
      <c r="IQ116" s="228"/>
      <c r="IR116" s="228"/>
      <c r="IS116" s="228"/>
      <c r="IT116" s="228"/>
      <c r="IU116" s="228"/>
      <c r="IV116" s="228"/>
      <c r="IW116" s="228"/>
      <c r="IX116" s="228"/>
      <c r="IY116" s="228"/>
      <c r="IZ116" s="228"/>
      <c r="JA116" s="228"/>
      <c r="JB116" s="228"/>
      <c r="JC116" s="228"/>
      <c r="JD116" s="228"/>
      <c r="JE116" s="228"/>
      <c r="JF116" s="228"/>
      <c r="JG116" s="228"/>
      <c r="JH116" s="228"/>
      <c r="JI116" s="228"/>
      <c r="JJ116" s="228"/>
      <c r="JK116" s="228"/>
      <c r="JL116" s="228"/>
      <c r="JM116" s="228"/>
      <c r="JN116" s="228"/>
      <c r="JO116" s="228"/>
      <c r="JP116" s="228"/>
      <c r="JQ116" s="228"/>
      <c r="JR116" s="228"/>
      <c r="JS116" s="228"/>
      <c r="JT116" s="228"/>
      <c r="JU116" s="228"/>
      <c r="JV116" s="228"/>
      <c r="JW116" s="228"/>
      <c r="JX116" s="228"/>
      <c r="JY116" s="228"/>
      <c r="JZ116" s="228"/>
      <c r="KA116" s="228"/>
      <c r="KB116" s="228"/>
      <c r="KC116" s="228"/>
      <c r="KD116" s="228"/>
      <c r="KE116" s="228"/>
      <c r="KF116" s="228"/>
      <c r="KG116" s="228"/>
      <c r="KH116" s="228"/>
      <c r="KI116" s="228"/>
      <c r="KJ116" s="228"/>
      <c r="KK116" s="228"/>
      <c r="KL116" s="228"/>
      <c r="KM116" s="228"/>
      <c r="KN116" s="228"/>
      <c r="KO116" s="228"/>
      <c r="KP116" s="228"/>
      <c r="KQ116" s="228"/>
      <c r="KR116" s="228"/>
      <c r="KS116" s="228"/>
      <c r="KT116" s="228"/>
      <c r="KU116" s="228"/>
      <c r="KV116" s="228"/>
      <c r="KW116" s="228"/>
      <c r="KX116" s="228"/>
      <c r="KY116" s="228"/>
      <c r="KZ116" s="228"/>
      <c r="LA116" s="228"/>
      <c r="LB116" s="228"/>
      <c r="LC116" s="228"/>
      <c r="LD116" s="228"/>
      <c r="LE116" s="228"/>
      <c r="LF116" s="228"/>
      <c r="LG116" s="228"/>
      <c r="LH116" s="228"/>
      <c r="LI116" s="228"/>
      <c r="LJ116" s="228"/>
      <c r="LK116" s="228"/>
      <c r="LL116" s="228"/>
      <c r="LM116" s="228"/>
      <c r="LN116" s="228"/>
      <c r="LO116" s="228"/>
      <c r="LP116" s="228"/>
      <c r="LQ116" s="228"/>
      <c r="LR116" s="228"/>
      <c r="LS116" s="228"/>
      <c r="LT116" s="228"/>
      <c r="LU116" s="228"/>
      <c r="LV116" s="228"/>
      <c r="LW116" s="228"/>
      <c r="LX116" s="228"/>
      <c r="LY116" s="228"/>
      <c r="LZ116" s="228"/>
      <c r="MA116" s="228"/>
      <c r="MB116" s="228"/>
      <c r="MC116" s="228"/>
      <c r="MD116" s="228"/>
      <c r="ME116" s="228"/>
      <c r="MF116" s="228"/>
      <c r="MG116" s="228"/>
      <c r="MH116" s="228"/>
      <c r="MI116" s="228"/>
      <c r="MJ116" s="228"/>
      <c r="MK116" s="228"/>
      <c r="ML116" s="228"/>
      <c r="MM116" s="228"/>
      <c r="MN116" s="228"/>
      <c r="MO116" s="228"/>
      <c r="MP116" s="228"/>
      <c r="MQ116" s="228"/>
      <c r="MR116" s="228"/>
      <c r="MS116" s="228"/>
      <c r="MT116" s="228"/>
      <c r="MU116" s="228"/>
      <c r="MV116" s="228"/>
      <c r="MW116" s="228"/>
      <c r="MX116" s="228"/>
      <c r="MY116" s="228"/>
      <c r="MZ116" s="228"/>
      <c r="NA116" s="228"/>
      <c r="NB116" s="228"/>
      <c r="NC116" s="228"/>
      <c r="ND116" s="228"/>
      <c r="NE116" s="228"/>
      <c r="NF116" s="228"/>
      <c r="NG116" s="228"/>
      <c r="NH116" s="228"/>
      <c r="NI116" s="228"/>
      <c r="NJ116" s="228"/>
      <c r="NK116" s="228"/>
      <c r="NL116" s="228"/>
      <c r="NM116" s="228"/>
      <c r="NN116" s="228"/>
      <c r="NO116" s="228"/>
      <c r="NP116" s="228"/>
      <c r="NQ116" s="228"/>
      <c r="NR116" s="228"/>
      <c r="NS116" s="228"/>
      <c r="NT116" s="228"/>
      <c r="NU116" s="228"/>
      <c r="NV116" s="228"/>
      <c r="NW116" s="228"/>
      <c r="NX116" s="228"/>
      <c r="NY116" s="228"/>
      <c r="NZ116" s="228"/>
      <c r="OA116" s="228"/>
      <c r="OB116" s="228"/>
      <c r="OC116" s="228"/>
      <c r="OD116" s="228"/>
      <c r="OE116" s="228"/>
      <c r="OF116" s="228"/>
      <c r="OG116" s="228"/>
      <c r="OH116" s="228"/>
      <c r="OI116" s="228"/>
      <c r="OJ116" s="228"/>
      <c r="OK116" s="228"/>
      <c r="OL116" s="228"/>
      <c r="OM116" s="228"/>
      <c r="ON116" s="228"/>
      <c r="OO116" s="228"/>
      <c r="OP116" s="228"/>
      <c r="OQ116" s="228"/>
      <c r="OR116" s="228"/>
      <c r="OS116" s="228"/>
      <c r="OT116" s="228"/>
      <c r="OU116" s="228"/>
      <c r="OV116" s="228"/>
      <c r="OW116" s="228"/>
      <c r="OX116" s="228"/>
      <c r="OY116" s="228"/>
      <c r="OZ116" s="228"/>
      <c r="PA116" s="228"/>
      <c r="PB116" s="228"/>
      <c r="PC116" s="228"/>
      <c r="PD116" s="228"/>
      <c r="PE116" s="228"/>
      <c r="PF116" s="228"/>
      <c r="PG116" s="228"/>
      <c r="PH116" s="228"/>
      <c r="PI116" s="228"/>
      <c r="PJ116" s="228"/>
      <c r="PK116" s="228"/>
      <c r="PL116" s="228"/>
      <c r="PM116" s="228"/>
      <c r="PN116" s="228"/>
      <c r="PO116" s="228"/>
      <c r="PP116" s="228"/>
      <c r="PQ116" s="228"/>
      <c r="PR116" s="228"/>
      <c r="PS116" s="228"/>
      <c r="PT116" s="228"/>
      <c r="PU116" s="228"/>
      <c r="PV116" s="228"/>
      <c r="PW116" s="228"/>
      <c r="PX116" s="228"/>
      <c r="PY116" s="228"/>
      <c r="PZ116" s="228"/>
      <c r="QA116" s="228"/>
      <c r="QB116" s="228"/>
      <c r="QC116" s="228"/>
      <c r="QD116" s="228"/>
      <c r="QE116" s="228"/>
      <c r="QF116" s="228"/>
      <c r="QG116" s="228"/>
      <c r="QH116" s="228"/>
      <c r="QI116" s="228"/>
      <c r="QJ116" s="228"/>
      <c r="QK116" s="228"/>
      <c r="QL116" s="228"/>
      <c r="QM116" s="228"/>
      <c r="QN116" s="228"/>
      <c r="QO116" s="228"/>
      <c r="QP116" s="228"/>
      <c r="QQ116" s="228"/>
      <c r="QR116" s="228"/>
      <c r="QS116" s="228"/>
      <c r="QT116" s="228"/>
      <c r="QU116" s="228"/>
      <c r="QV116" s="228"/>
      <c r="QW116" s="228"/>
      <c r="QX116" s="228"/>
      <c r="QY116" s="228"/>
      <c r="QZ116" s="228"/>
      <c r="RA116" s="228"/>
      <c r="RB116" s="228"/>
      <c r="RC116" s="228"/>
      <c r="RD116" s="228"/>
      <c r="RE116" s="228"/>
      <c r="RF116" s="228"/>
      <c r="RG116" s="228"/>
      <c r="RH116" s="228"/>
      <c r="RI116" s="228"/>
      <c r="RJ116" s="228"/>
      <c r="RK116" s="228"/>
      <c r="RL116" s="228"/>
      <c r="RM116" s="228"/>
      <c r="RN116" s="228"/>
      <c r="RO116" s="228"/>
      <c r="RP116" s="228"/>
      <c r="RQ116" s="228"/>
      <c r="RR116" s="228"/>
      <c r="RS116" s="228"/>
      <c r="RT116" s="228"/>
      <c r="RU116" s="228"/>
      <c r="RV116" s="228"/>
      <c r="RW116" s="228"/>
      <c r="RX116" s="228"/>
      <c r="RY116" s="228"/>
      <c r="RZ116" s="228"/>
      <c r="SA116" s="228"/>
      <c r="SB116" s="228"/>
      <c r="SC116" s="228"/>
      <c r="SD116" s="228"/>
      <c r="SE116" s="228"/>
      <c r="SF116" s="228"/>
      <c r="SG116" s="228"/>
      <c r="SH116" s="228"/>
      <c r="SI116" s="228"/>
      <c r="SJ116" s="228"/>
      <c r="SK116" s="228"/>
      <c r="SL116" s="228"/>
      <c r="SM116" s="228"/>
      <c r="SN116" s="228"/>
      <c r="SO116" s="228"/>
      <c r="SP116" s="228"/>
      <c r="SQ116" s="228"/>
      <c r="SR116" s="228"/>
      <c r="SS116" s="228"/>
      <c r="ST116" s="228"/>
      <c r="SU116" s="228"/>
      <c r="SV116" s="228"/>
      <c r="SW116" s="228"/>
      <c r="SX116" s="228"/>
      <c r="SY116" s="228"/>
      <c r="SZ116" s="228"/>
      <c r="TA116" s="228"/>
      <c r="TB116" s="228"/>
      <c r="TC116" s="228"/>
      <c r="TD116" s="228"/>
      <c r="TE116" s="228"/>
      <c r="TF116" s="228"/>
      <c r="TG116" s="228"/>
      <c r="TH116" s="228"/>
      <c r="TI116" s="228"/>
      <c r="TJ116" s="228"/>
      <c r="TK116" s="228"/>
      <c r="TL116" s="228"/>
      <c r="TM116" s="228"/>
      <c r="TN116" s="228"/>
      <c r="TO116" s="228"/>
      <c r="TP116" s="228"/>
      <c r="TQ116" s="228"/>
      <c r="TR116" s="228"/>
      <c r="TS116" s="228"/>
      <c r="TT116" s="228"/>
      <c r="TU116" s="228"/>
    </row>
    <row r="117" spans="1:541" outlineLevel="1" x14ac:dyDescent="0.25">
      <c r="A117" s="230">
        <v>1</v>
      </c>
      <c r="B117" s="195" t="s">
        <v>712</v>
      </c>
      <c r="C117" s="210" t="s">
        <v>713</v>
      </c>
      <c r="D117" s="210" t="s">
        <v>714</v>
      </c>
      <c r="E117" s="210" t="s">
        <v>803</v>
      </c>
      <c r="F117" s="216" t="s">
        <v>0</v>
      </c>
      <c r="G117" s="216" t="s">
        <v>1165</v>
      </c>
      <c r="H117" s="216" t="s">
        <v>1166</v>
      </c>
      <c r="I117" s="379" t="s">
        <v>1331</v>
      </c>
      <c r="J117" s="379" t="s">
        <v>1332</v>
      </c>
      <c r="K117" s="210"/>
      <c r="L117" s="210"/>
      <c r="M117" s="216" t="s">
        <v>1301</v>
      </c>
      <c r="N117" s="210" t="s">
        <v>1159</v>
      </c>
      <c r="O117" s="210" t="s">
        <v>1160</v>
      </c>
      <c r="P117" s="210" t="s">
        <v>1156</v>
      </c>
      <c r="Q117" s="229" t="s">
        <v>1333</v>
      </c>
    </row>
    <row r="118" spans="1:541" ht="45" outlineLevel="1" x14ac:dyDescent="0.25">
      <c r="A118" s="232">
        <f t="shared" ref="A118:A123" si="2">A117+1</f>
        <v>2</v>
      </c>
      <c r="B118" s="193" t="s">
        <v>712</v>
      </c>
      <c r="C118" s="204" t="s">
        <v>719</v>
      </c>
      <c r="D118" s="204" t="s">
        <v>720</v>
      </c>
      <c r="E118" s="5" t="s">
        <v>803</v>
      </c>
      <c r="F118" s="205" t="s">
        <v>722</v>
      </c>
      <c r="G118" s="213" t="s">
        <v>1173</v>
      </c>
      <c r="H118" s="213" t="s">
        <v>1166</v>
      </c>
      <c r="I118" s="368" t="s">
        <v>1346</v>
      </c>
      <c r="J118" s="5" t="s">
        <v>723</v>
      </c>
      <c r="K118" s="5"/>
      <c r="L118" s="5"/>
      <c r="M118" s="213" t="s">
        <v>718</v>
      </c>
      <c r="N118" s="5"/>
      <c r="O118" s="5"/>
      <c r="P118" s="5"/>
      <c r="Q118" s="234"/>
    </row>
    <row r="119" spans="1:541" outlineLevel="1" x14ac:dyDescent="0.25">
      <c r="A119" s="232">
        <f t="shared" si="2"/>
        <v>3</v>
      </c>
      <c r="B119" s="193" t="s">
        <v>712</v>
      </c>
      <c r="C119" s="204" t="s">
        <v>1178</v>
      </c>
      <c r="D119" s="5" t="s">
        <v>1188</v>
      </c>
      <c r="E119" s="5" t="s">
        <v>803</v>
      </c>
      <c r="F119" s="213" t="s">
        <v>0</v>
      </c>
      <c r="G119" s="213" t="s">
        <v>1173</v>
      </c>
      <c r="H119" s="213" t="s">
        <v>1166</v>
      </c>
      <c r="I119" s="368" t="s">
        <v>1299</v>
      </c>
      <c r="J119" s="368" t="s">
        <v>1300</v>
      </c>
      <c r="K119" s="5"/>
      <c r="L119" s="5"/>
      <c r="M119" s="213" t="s">
        <v>718</v>
      </c>
      <c r="N119" s="5" t="s">
        <v>1159</v>
      </c>
      <c r="O119" s="5" t="s">
        <v>1160</v>
      </c>
      <c r="P119" s="5" t="s">
        <v>1156</v>
      </c>
      <c r="Q119" s="234"/>
    </row>
    <row r="120" spans="1:541" outlineLevel="1" x14ac:dyDescent="0.25">
      <c r="A120" s="232">
        <f t="shared" si="2"/>
        <v>4</v>
      </c>
      <c r="B120" s="193" t="s">
        <v>712</v>
      </c>
      <c r="C120" s="204" t="s">
        <v>726</v>
      </c>
      <c r="D120" s="204" t="s">
        <v>727</v>
      </c>
      <c r="E120" s="5" t="s">
        <v>803</v>
      </c>
      <c r="F120" s="213" t="s">
        <v>0</v>
      </c>
      <c r="G120" s="213" t="s">
        <v>1173</v>
      </c>
      <c r="H120" s="213" t="s">
        <v>1166</v>
      </c>
      <c r="I120" s="368" t="s">
        <v>1226</v>
      </c>
      <c r="J120" s="368" t="s">
        <v>1227</v>
      </c>
      <c r="K120" s="5"/>
      <c r="L120" s="5"/>
      <c r="M120" s="213" t="s">
        <v>718</v>
      </c>
      <c r="N120" s="5" t="s">
        <v>1159</v>
      </c>
      <c r="O120" s="5" t="s">
        <v>1160</v>
      </c>
      <c r="P120" s="5" t="s">
        <v>1156</v>
      </c>
      <c r="Q120" s="234"/>
    </row>
    <row r="121" spans="1:541" ht="45" outlineLevel="1" x14ac:dyDescent="0.25">
      <c r="A121" s="232">
        <f t="shared" si="2"/>
        <v>5</v>
      </c>
      <c r="B121" s="193" t="s">
        <v>712</v>
      </c>
      <c r="C121" s="204" t="s">
        <v>729</v>
      </c>
      <c r="D121" s="204" t="s">
        <v>1177</v>
      </c>
      <c r="E121" s="5" t="s">
        <v>803</v>
      </c>
      <c r="F121" s="205" t="s">
        <v>722</v>
      </c>
      <c r="G121" s="213" t="s">
        <v>1173</v>
      </c>
      <c r="H121" s="213" t="s">
        <v>1166</v>
      </c>
      <c r="I121" s="368" t="s">
        <v>276</v>
      </c>
      <c r="J121" s="5" t="s">
        <v>723</v>
      </c>
      <c r="K121" s="5"/>
      <c r="L121" s="5"/>
      <c r="M121" s="213" t="s">
        <v>718</v>
      </c>
      <c r="N121" s="5"/>
      <c r="O121" s="5"/>
      <c r="P121" s="5"/>
      <c r="Q121" s="234"/>
    </row>
    <row r="122" spans="1:541" ht="45" outlineLevel="1" x14ac:dyDescent="0.25">
      <c r="A122" s="232">
        <f t="shared" si="2"/>
        <v>6</v>
      </c>
      <c r="B122" s="193" t="s">
        <v>712</v>
      </c>
      <c r="C122" s="204" t="s">
        <v>729</v>
      </c>
      <c r="D122" s="204" t="s">
        <v>732</v>
      </c>
      <c r="E122" s="5" t="s">
        <v>803</v>
      </c>
      <c r="F122" s="205" t="s">
        <v>722</v>
      </c>
      <c r="G122" s="213" t="s">
        <v>1173</v>
      </c>
      <c r="H122" s="213" t="s">
        <v>1166</v>
      </c>
      <c r="I122" s="368" t="s">
        <v>1347</v>
      </c>
      <c r="J122" s="5" t="s">
        <v>723</v>
      </c>
      <c r="K122" s="5"/>
      <c r="L122" s="5"/>
      <c r="M122" s="213" t="s">
        <v>718</v>
      </c>
      <c r="N122" s="5"/>
      <c r="O122" s="5"/>
      <c r="P122" s="5"/>
      <c r="Q122" s="234"/>
    </row>
    <row r="123" spans="1:541" ht="45.75" outlineLevel="1" thickBot="1" x14ac:dyDescent="0.3">
      <c r="A123" s="241">
        <f t="shared" si="2"/>
        <v>7</v>
      </c>
      <c r="B123" s="194" t="s">
        <v>712</v>
      </c>
      <c r="C123" s="208" t="s">
        <v>729</v>
      </c>
      <c r="D123" s="208" t="s">
        <v>733</v>
      </c>
      <c r="E123" s="209" t="s">
        <v>803</v>
      </c>
      <c r="F123" s="200" t="s">
        <v>722</v>
      </c>
      <c r="G123" s="215" t="s">
        <v>1173</v>
      </c>
      <c r="H123" s="215" t="s">
        <v>1166</v>
      </c>
      <c r="I123" s="389" t="s">
        <v>272</v>
      </c>
      <c r="J123" s="209" t="s">
        <v>723</v>
      </c>
      <c r="K123" s="209"/>
      <c r="L123" s="209"/>
      <c r="M123" s="215" t="s">
        <v>718</v>
      </c>
      <c r="N123" s="209"/>
      <c r="O123" s="209"/>
      <c r="P123" s="209"/>
      <c r="Q123" s="242"/>
    </row>
    <row r="124" spans="1:541" s="201" customFormat="1" ht="15.75" outlineLevel="1" collapsed="1" thickBot="1" x14ac:dyDescent="0.3">
      <c r="A124" s="279"/>
      <c r="B124" s="280"/>
      <c r="C124" s="253"/>
      <c r="D124" s="253"/>
      <c r="E124" s="253"/>
      <c r="F124" s="254"/>
      <c r="G124" s="254"/>
      <c r="H124" s="254"/>
      <c r="I124" s="253"/>
      <c r="J124" s="253"/>
      <c r="K124" s="253"/>
      <c r="L124" s="253"/>
      <c r="M124" s="254"/>
      <c r="N124" s="253"/>
      <c r="O124" s="253"/>
      <c r="P124" s="253"/>
      <c r="Q124" s="255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  <c r="AE124" s="228"/>
      <c r="AF124" s="228"/>
      <c r="AG124" s="228"/>
      <c r="AH124" s="228"/>
      <c r="AI124" s="228"/>
      <c r="AJ124" s="228"/>
      <c r="AK124" s="228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 s="228"/>
      <c r="AX124" s="228"/>
      <c r="AY124" s="228"/>
      <c r="AZ124" s="228"/>
      <c r="BA124" s="228"/>
      <c r="BB124" s="228"/>
      <c r="BC124" s="228"/>
      <c r="BD124" s="228"/>
      <c r="BE124" s="228"/>
      <c r="BF124" s="228"/>
      <c r="BG124" s="228"/>
      <c r="BH124" s="228"/>
      <c r="BI124" s="228"/>
      <c r="BJ124" s="228"/>
      <c r="BK124" s="228"/>
      <c r="BL124" s="228"/>
      <c r="BM124" s="228"/>
      <c r="BN124" s="228"/>
      <c r="BO124" s="228"/>
      <c r="BP124" s="228"/>
      <c r="BQ124" s="228"/>
      <c r="BR124" s="228"/>
      <c r="BS124" s="228"/>
      <c r="BT124" s="228"/>
      <c r="BU124" s="228"/>
      <c r="BV124" s="228"/>
      <c r="BW124" s="228"/>
      <c r="BX124" s="228"/>
      <c r="BY124" s="228"/>
      <c r="BZ124" s="228"/>
      <c r="CA124" s="228"/>
      <c r="CB124" s="228"/>
      <c r="CC124" s="228"/>
      <c r="CD124" s="228"/>
      <c r="CE124" s="228"/>
      <c r="CF124" s="228"/>
      <c r="CG124" s="228"/>
      <c r="CH124" s="228"/>
      <c r="CI124" s="228"/>
      <c r="CJ124" s="228"/>
      <c r="CK124" s="228"/>
      <c r="CL124" s="228"/>
      <c r="CM124" s="228"/>
      <c r="CN124" s="228"/>
      <c r="CO124" s="228"/>
      <c r="CP124" s="228"/>
      <c r="CQ124" s="228"/>
      <c r="CR124" s="228"/>
      <c r="CS124" s="228"/>
      <c r="CT124" s="228"/>
      <c r="CU124" s="228"/>
      <c r="CV124" s="228"/>
      <c r="CW124" s="228"/>
      <c r="CX124" s="228"/>
      <c r="CY124" s="228"/>
      <c r="CZ124" s="228"/>
      <c r="DA124" s="228"/>
      <c r="DB124" s="228"/>
      <c r="DC124" s="228"/>
      <c r="DD124" s="228"/>
      <c r="DE124" s="228"/>
      <c r="DF124" s="228"/>
      <c r="DG124" s="228"/>
      <c r="DH124" s="228"/>
      <c r="DI124" s="228"/>
      <c r="DJ124" s="228"/>
      <c r="DK124" s="228"/>
      <c r="DL124" s="228"/>
      <c r="DM124" s="228"/>
      <c r="DN124" s="228"/>
      <c r="DO124" s="228"/>
      <c r="DP124" s="228"/>
      <c r="DQ124" s="228"/>
      <c r="DR124" s="228"/>
      <c r="DS124" s="228"/>
      <c r="DT124" s="228"/>
      <c r="DU124" s="228"/>
      <c r="DV124" s="228"/>
      <c r="DW124" s="228"/>
      <c r="DX124" s="228"/>
      <c r="DY124" s="228"/>
      <c r="DZ124" s="228"/>
      <c r="EA124" s="228"/>
      <c r="EB124" s="228"/>
      <c r="EC124" s="228"/>
      <c r="ED124" s="228"/>
      <c r="EE124" s="228"/>
      <c r="EF124" s="228"/>
      <c r="EG124" s="228"/>
      <c r="EH124" s="228"/>
      <c r="EI124" s="228"/>
      <c r="EJ124" s="228"/>
      <c r="EK124" s="228"/>
      <c r="EL124" s="228"/>
      <c r="EM124" s="228"/>
      <c r="EN124" s="228"/>
      <c r="EO124" s="228"/>
      <c r="EP124" s="228"/>
      <c r="EQ124" s="228"/>
      <c r="ER124" s="228"/>
      <c r="ES124" s="228"/>
      <c r="ET124" s="228"/>
      <c r="EU124" s="228"/>
      <c r="EV124" s="228"/>
      <c r="EW124" s="228"/>
      <c r="EX124" s="228"/>
      <c r="EY124" s="228"/>
      <c r="EZ124" s="228"/>
      <c r="FA124" s="228"/>
      <c r="FB124" s="228"/>
      <c r="FC124" s="228"/>
      <c r="FD124" s="228"/>
      <c r="FE124" s="228"/>
      <c r="FF124" s="228"/>
      <c r="FG124" s="228"/>
      <c r="FH124" s="228"/>
      <c r="FI124" s="228"/>
      <c r="FJ124" s="228"/>
      <c r="FK124" s="228"/>
      <c r="FL124" s="228"/>
      <c r="FM124" s="228"/>
      <c r="FN124" s="228"/>
      <c r="FO124" s="228"/>
      <c r="FP124" s="228"/>
      <c r="FQ124" s="228"/>
      <c r="FR124" s="228"/>
      <c r="FS124" s="228"/>
      <c r="FT124" s="228"/>
      <c r="FU124" s="228"/>
      <c r="FV124" s="228"/>
      <c r="FW124" s="228"/>
      <c r="FX124" s="228"/>
      <c r="FY124" s="228"/>
      <c r="FZ124" s="228"/>
      <c r="GA124" s="228"/>
      <c r="GB124" s="228"/>
      <c r="GC124" s="228"/>
      <c r="GD124" s="228"/>
      <c r="GE124" s="228"/>
      <c r="GF124" s="228"/>
      <c r="GG124" s="228"/>
      <c r="GH124" s="228"/>
      <c r="GI124" s="228"/>
      <c r="GJ124" s="228"/>
      <c r="GK124" s="228"/>
      <c r="GL124" s="228"/>
      <c r="GM124" s="228"/>
      <c r="GN124" s="228"/>
      <c r="GO124" s="228"/>
      <c r="GP124" s="228"/>
      <c r="GQ124" s="228"/>
      <c r="GR124" s="228"/>
      <c r="GS124" s="228"/>
      <c r="GT124" s="228"/>
      <c r="GU124" s="228"/>
      <c r="GV124" s="228"/>
      <c r="GW124" s="228"/>
      <c r="GX124" s="228"/>
      <c r="GY124" s="228"/>
      <c r="GZ124" s="228"/>
      <c r="HA124" s="228"/>
      <c r="HB124" s="228"/>
      <c r="HC124" s="228"/>
      <c r="HD124" s="228"/>
      <c r="HE124" s="228"/>
      <c r="HF124" s="228"/>
      <c r="HG124" s="228"/>
      <c r="HH124" s="228"/>
      <c r="HI124" s="228"/>
      <c r="HJ124" s="228"/>
      <c r="HK124" s="228"/>
      <c r="HL124" s="228"/>
      <c r="HM124" s="228"/>
      <c r="HN124" s="228"/>
      <c r="HO124" s="228"/>
      <c r="HP124" s="228"/>
      <c r="HQ124" s="228"/>
      <c r="HR124" s="228"/>
      <c r="HS124" s="228"/>
      <c r="HT124" s="228"/>
      <c r="HU124" s="228"/>
      <c r="HV124" s="228"/>
      <c r="HW124" s="228"/>
      <c r="HX124" s="228"/>
      <c r="HY124" s="228"/>
      <c r="HZ124" s="228"/>
      <c r="IA124" s="228"/>
      <c r="IB124" s="228"/>
      <c r="IC124" s="228"/>
      <c r="ID124" s="228"/>
      <c r="IE124" s="228"/>
      <c r="IF124" s="228"/>
      <c r="IG124" s="228"/>
      <c r="IH124" s="228"/>
      <c r="II124" s="228"/>
      <c r="IJ124" s="228"/>
      <c r="IK124" s="228"/>
      <c r="IL124" s="228"/>
      <c r="IM124" s="228"/>
      <c r="IN124" s="228"/>
      <c r="IO124" s="228"/>
      <c r="IP124" s="228"/>
      <c r="IQ124" s="228"/>
      <c r="IR124" s="228"/>
      <c r="IS124" s="228"/>
      <c r="IT124" s="228"/>
      <c r="IU124" s="228"/>
      <c r="IV124" s="228"/>
      <c r="IW124" s="228"/>
      <c r="IX124" s="228"/>
      <c r="IY124" s="228"/>
      <c r="IZ124" s="228"/>
      <c r="JA124" s="228"/>
      <c r="JB124" s="228"/>
      <c r="JC124" s="228"/>
      <c r="JD124" s="228"/>
      <c r="JE124" s="228"/>
      <c r="JF124" s="228"/>
      <c r="JG124" s="228"/>
      <c r="JH124" s="228"/>
      <c r="JI124" s="228"/>
      <c r="JJ124" s="228"/>
      <c r="JK124" s="228"/>
      <c r="JL124" s="228"/>
      <c r="JM124" s="228"/>
      <c r="JN124" s="228"/>
      <c r="JO124" s="228"/>
      <c r="JP124" s="228"/>
      <c r="JQ124" s="228"/>
      <c r="JR124" s="228"/>
      <c r="JS124" s="228"/>
      <c r="JT124" s="228"/>
      <c r="JU124" s="228"/>
      <c r="JV124" s="228"/>
      <c r="JW124" s="228"/>
      <c r="JX124" s="228"/>
      <c r="JY124" s="228"/>
      <c r="JZ124" s="228"/>
      <c r="KA124" s="228"/>
      <c r="KB124" s="228"/>
      <c r="KC124" s="228"/>
      <c r="KD124" s="228"/>
      <c r="KE124" s="228"/>
      <c r="KF124" s="228"/>
      <c r="KG124" s="228"/>
      <c r="KH124" s="228"/>
      <c r="KI124" s="228"/>
      <c r="KJ124" s="228"/>
      <c r="KK124" s="228"/>
      <c r="KL124" s="228"/>
      <c r="KM124" s="228"/>
      <c r="KN124" s="228"/>
      <c r="KO124" s="228"/>
      <c r="KP124" s="228"/>
      <c r="KQ124" s="228"/>
      <c r="KR124" s="228"/>
      <c r="KS124" s="228"/>
      <c r="KT124" s="228"/>
      <c r="KU124" s="228"/>
      <c r="KV124" s="228"/>
      <c r="KW124" s="228"/>
      <c r="KX124" s="228"/>
      <c r="KY124" s="228"/>
      <c r="KZ124" s="228"/>
      <c r="LA124" s="228"/>
      <c r="LB124" s="228"/>
      <c r="LC124" s="228"/>
      <c r="LD124" s="228"/>
      <c r="LE124" s="228"/>
      <c r="LF124" s="228"/>
      <c r="LG124" s="228"/>
      <c r="LH124" s="228"/>
      <c r="LI124" s="228"/>
      <c r="LJ124" s="228"/>
      <c r="LK124" s="228"/>
      <c r="LL124" s="228"/>
      <c r="LM124" s="228"/>
      <c r="LN124" s="228"/>
      <c r="LO124" s="228"/>
      <c r="LP124" s="228"/>
      <c r="LQ124" s="228"/>
      <c r="LR124" s="228"/>
      <c r="LS124" s="228"/>
      <c r="LT124" s="228"/>
      <c r="LU124" s="228"/>
      <c r="LV124" s="228"/>
      <c r="LW124" s="228"/>
      <c r="LX124" s="228"/>
      <c r="LY124" s="228"/>
      <c r="LZ124" s="228"/>
      <c r="MA124" s="228"/>
      <c r="MB124" s="228"/>
      <c r="MC124" s="228"/>
      <c r="MD124" s="228"/>
      <c r="ME124" s="228"/>
      <c r="MF124" s="228"/>
      <c r="MG124" s="228"/>
      <c r="MH124" s="228"/>
      <c r="MI124" s="228"/>
      <c r="MJ124" s="228"/>
      <c r="MK124" s="228"/>
      <c r="ML124" s="228"/>
      <c r="MM124" s="228"/>
      <c r="MN124" s="228"/>
      <c r="MO124" s="228"/>
      <c r="MP124" s="228"/>
      <c r="MQ124" s="228"/>
      <c r="MR124" s="228"/>
      <c r="MS124" s="228"/>
      <c r="MT124" s="228"/>
      <c r="MU124" s="228"/>
      <c r="MV124" s="228"/>
      <c r="MW124" s="228"/>
      <c r="MX124" s="228"/>
      <c r="MY124" s="228"/>
      <c r="MZ124" s="228"/>
      <c r="NA124" s="228"/>
      <c r="NB124" s="228"/>
      <c r="NC124" s="228"/>
      <c r="ND124" s="228"/>
      <c r="NE124" s="228"/>
      <c r="NF124" s="228"/>
      <c r="NG124" s="228"/>
      <c r="NH124" s="228"/>
      <c r="NI124" s="228"/>
      <c r="NJ124" s="228"/>
      <c r="NK124" s="228"/>
      <c r="NL124" s="228"/>
      <c r="NM124" s="228"/>
      <c r="NN124" s="228"/>
      <c r="NO124" s="228"/>
      <c r="NP124" s="228"/>
      <c r="NQ124" s="228"/>
      <c r="NR124" s="228"/>
      <c r="NS124" s="228"/>
      <c r="NT124" s="228"/>
      <c r="NU124" s="228"/>
      <c r="NV124" s="228"/>
      <c r="NW124" s="228"/>
      <c r="NX124" s="228"/>
      <c r="NY124" s="228"/>
      <c r="NZ124" s="228"/>
      <c r="OA124" s="228"/>
      <c r="OB124" s="228"/>
      <c r="OC124" s="228"/>
      <c r="OD124" s="228"/>
      <c r="OE124" s="228"/>
      <c r="OF124" s="228"/>
      <c r="OG124" s="228"/>
      <c r="OH124" s="228"/>
      <c r="OI124" s="228"/>
      <c r="OJ124" s="228"/>
      <c r="OK124" s="228"/>
      <c r="OL124" s="228"/>
      <c r="OM124" s="228"/>
      <c r="ON124" s="228"/>
      <c r="OO124" s="228"/>
      <c r="OP124" s="228"/>
      <c r="OQ124" s="228"/>
      <c r="OR124" s="228"/>
      <c r="OS124" s="228"/>
      <c r="OT124" s="228"/>
      <c r="OU124" s="228"/>
      <c r="OV124" s="228"/>
      <c r="OW124" s="228"/>
      <c r="OX124" s="228"/>
      <c r="OY124" s="228"/>
      <c r="OZ124" s="228"/>
      <c r="PA124" s="228"/>
      <c r="PB124" s="228"/>
      <c r="PC124" s="228"/>
      <c r="PD124" s="228"/>
      <c r="PE124" s="228"/>
      <c r="PF124" s="228"/>
      <c r="PG124" s="228"/>
      <c r="PH124" s="228"/>
      <c r="PI124" s="228"/>
      <c r="PJ124" s="228"/>
      <c r="PK124" s="228"/>
      <c r="PL124" s="228"/>
      <c r="PM124" s="228"/>
      <c r="PN124" s="228"/>
      <c r="PO124" s="228"/>
      <c r="PP124" s="228"/>
      <c r="PQ124" s="228"/>
      <c r="PR124" s="228"/>
      <c r="PS124" s="228"/>
      <c r="PT124" s="228"/>
      <c r="PU124" s="228"/>
      <c r="PV124" s="228"/>
      <c r="PW124" s="228"/>
      <c r="PX124" s="228"/>
      <c r="PY124" s="228"/>
      <c r="PZ124" s="228"/>
      <c r="QA124" s="228"/>
      <c r="QB124" s="228"/>
      <c r="QC124" s="228"/>
      <c r="QD124" s="228"/>
      <c r="QE124" s="228"/>
      <c r="QF124" s="228"/>
      <c r="QG124" s="228"/>
      <c r="QH124" s="228"/>
      <c r="QI124" s="228"/>
      <c r="QJ124" s="228"/>
      <c r="QK124" s="228"/>
      <c r="QL124" s="228"/>
      <c r="QM124" s="228"/>
      <c r="QN124" s="228"/>
      <c r="QO124" s="228"/>
      <c r="QP124" s="228"/>
      <c r="QQ124" s="228"/>
      <c r="QR124" s="228"/>
      <c r="QS124" s="228"/>
      <c r="QT124" s="228"/>
      <c r="QU124" s="228"/>
      <c r="QV124" s="228"/>
      <c r="QW124" s="228"/>
      <c r="QX124" s="228"/>
      <c r="QY124" s="228"/>
      <c r="QZ124" s="228"/>
      <c r="RA124" s="228"/>
      <c r="RB124" s="228"/>
      <c r="RC124" s="228"/>
      <c r="RD124" s="228"/>
      <c r="RE124" s="228"/>
      <c r="RF124" s="228"/>
      <c r="RG124" s="228"/>
      <c r="RH124" s="228"/>
      <c r="RI124" s="228"/>
      <c r="RJ124" s="228"/>
      <c r="RK124" s="228"/>
      <c r="RL124" s="228"/>
      <c r="RM124" s="228"/>
      <c r="RN124" s="228"/>
      <c r="RO124" s="228"/>
      <c r="RP124" s="228"/>
      <c r="RQ124" s="228"/>
      <c r="RR124" s="228"/>
      <c r="RS124" s="228"/>
      <c r="RT124" s="228"/>
      <c r="RU124" s="228"/>
      <c r="RV124" s="228"/>
      <c r="RW124" s="228"/>
      <c r="RX124" s="228"/>
      <c r="RY124" s="228"/>
      <c r="RZ124" s="228"/>
      <c r="SA124" s="228"/>
      <c r="SB124" s="228"/>
      <c r="SC124" s="228"/>
      <c r="SD124" s="228"/>
      <c r="SE124" s="228"/>
      <c r="SF124" s="228"/>
      <c r="SG124" s="228"/>
      <c r="SH124" s="228"/>
      <c r="SI124" s="228"/>
      <c r="SJ124" s="228"/>
      <c r="SK124" s="228"/>
      <c r="SL124" s="228"/>
      <c r="SM124" s="228"/>
      <c r="SN124" s="228"/>
      <c r="SO124" s="228"/>
      <c r="SP124" s="228"/>
      <c r="SQ124" s="228"/>
      <c r="SR124" s="228"/>
      <c r="SS124" s="228"/>
      <c r="ST124" s="228"/>
      <c r="SU124" s="228"/>
      <c r="SV124" s="228"/>
      <c r="SW124" s="228"/>
      <c r="SX124" s="228"/>
      <c r="SY124" s="228"/>
      <c r="SZ124" s="228"/>
      <c r="TA124" s="228"/>
      <c r="TB124" s="228"/>
      <c r="TC124" s="228"/>
      <c r="TD124" s="228"/>
      <c r="TE124" s="228"/>
      <c r="TF124" s="228"/>
      <c r="TG124" s="228"/>
      <c r="TH124" s="228"/>
      <c r="TI124" s="228"/>
      <c r="TJ124" s="228"/>
      <c r="TK124" s="228"/>
      <c r="TL124" s="228"/>
      <c r="TM124" s="228"/>
      <c r="TN124" s="228"/>
      <c r="TO124" s="228"/>
      <c r="TP124" s="228"/>
      <c r="TQ124" s="228"/>
      <c r="TR124" s="228"/>
      <c r="TS124" s="228"/>
      <c r="TT124" s="228"/>
      <c r="TU124" s="228"/>
    </row>
    <row r="125" spans="1:541" outlineLevel="1" x14ac:dyDescent="0.25">
      <c r="A125" s="257">
        <v>1</v>
      </c>
      <c r="B125" s="272" t="s">
        <v>911</v>
      </c>
      <c r="C125" s="258" t="s">
        <v>239</v>
      </c>
      <c r="D125" s="258" t="s">
        <v>1336</v>
      </c>
      <c r="E125" s="258" t="s">
        <v>803</v>
      </c>
      <c r="F125" s="257" t="s">
        <v>0</v>
      </c>
      <c r="G125" s="257" t="s">
        <v>1335</v>
      </c>
      <c r="H125" s="257" t="s">
        <v>1166</v>
      </c>
      <c r="I125" s="380"/>
      <c r="J125" s="381"/>
      <c r="K125" s="258"/>
      <c r="L125" s="258"/>
      <c r="M125" s="257" t="s">
        <v>365</v>
      </c>
      <c r="N125" s="258" t="s">
        <v>1159</v>
      </c>
      <c r="O125" s="258" t="s">
        <v>1160</v>
      </c>
      <c r="P125" s="258" t="s">
        <v>1156</v>
      </c>
      <c r="Q125" s="258" t="s">
        <v>863</v>
      </c>
    </row>
    <row r="126" spans="1:541" outlineLevel="1" x14ac:dyDescent="0.25">
      <c r="A126" s="213"/>
      <c r="B126" s="193"/>
      <c r="C126" s="5"/>
      <c r="D126" s="5" t="s">
        <v>1337</v>
      </c>
      <c r="E126" s="5"/>
      <c r="F126" s="213"/>
      <c r="G126" s="213"/>
      <c r="H126" s="213"/>
      <c r="I126" s="390" t="s">
        <v>1338</v>
      </c>
      <c r="J126" s="372" t="s">
        <v>1339</v>
      </c>
      <c r="K126" s="5"/>
      <c r="L126" s="5"/>
      <c r="M126" s="257" t="s">
        <v>365</v>
      </c>
      <c r="N126" s="5"/>
      <c r="O126" s="5"/>
      <c r="P126" s="5"/>
      <c r="Q126" s="5"/>
    </row>
    <row r="127" spans="1:541" ht="15.75" outlineLevel="1" thickBot="1" x14ac:dyDescent="0.3">
      <c r="A127" s="251"/>
      <c r="B127" s="276"/>
      <c r="C127" s="224"/>
      <c r="D127" s="224" t="s">
        <v>1334</v>
      </c>
      <c r="E127" s="224"/>
      <c r="F127" s="251"/>
      <c r="G127" s="251"/>
      <c r="H127" s="251"/>
      <c r="I127" s="391" t="s">
        <v>1340</v>
      </c>
      <c r="J127" s="373" t="s">
        <v>1341</v>
      </c>
      <c r="K127" s="224"/>
      <c r="L127" s="224"/>
      <c r="M127" s="257" t="s">
        <v>365</v>
      </c>
      <c r="N127" s="224"/>
      <c r="O127" s="224"/>
      <c r="P127" s="224"/>
      <c r="Q127" s="224"/>
    </row>
    <row r="128" spans="1:541" s="201" customFormat="1" ht="15.75" outlineLevel="1" collapsed="1" thickBot="1" x14ac:dyDescent="0.3">
      <c r="A128" s="279"/>
      <c r="B128" s="280"/>
      <c r="C128" s="255"/>
      <c r="D128" s="253"/>
      <c r="E128" s="253"/>
      <c r="F128" s="254"/>
      <c r="G128" s="254"/>
      <c r="H128" s="254"/>
      <c r="I128" s="253"/>
      <c r="J128" s="253"/>
      <c r="K128" s="253"/>
      <c r="L128" s="253"/>
      <c r="M128" s="254"/>
      <c r="N128" s="253"/>
      <c r="O128" s="253"/>
      <c r="P128" s="253"/>
      <c r="Q128" s="255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  <c r="AE128" s="228"/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228"/>
      <c r="BG128" s="228"/>
      <c r="BH128" s="228"/>
      <c r="BI128" s="228"/>
      <c r="BJ128" s="228"/>
      <c r="BK128" s="228"/>
      <c r="BL128" s="228"/>
      <c r="BM128" s="228"/>
      <c r="BN128" s="228"/>
      <c r="BO128" s="228"/>
      <c r="BP128" s="228"/>
      <c r="BQ128" s="228"/>
      <c r="BR128" s="228"/>
      <c r="BS128" s="228"/>
      <c r="BT128" s="228"/>
      <c r="BU128" s="228"/>
      <c r="BV128" s="228"/>
      <c r="BW128" s="228"/>
      <c r="BX128" s="228"/>
      <c r="BY128" s="228"/>
      <c r="BZ128" s="228"/>
      <c r="CA128" s="228"/>
      <c r="CB128" s="228"/>
      <c r="CC128" s="228"/>
      <c r="CD128" s="228"/>
      <c r="CE128" s="228"/>
      <c r="CF128" s="228"/>
      <c r="CG128" s="228"/>
      <c r="CH128" s="228"/>
      <c r="CI128" s="228"/>
      <c r="CJ128" s="228"/>
      <c r="CK128" s="228"/>
      <c r="CL128" s="228"/>
      <c r="CM128" s="228"/>
      <c r="CN128" s="228"/>
      <c r="CO128" s="228"/>
      <c r="CP128" s="228"/>
      <c r="CQ128" s="228"/>
      <c r="CR128" s="228"/>
      <c r="CS128" s="228"/>
      <c r="CT128" s="228"/>
      <c r="CU128" s="228"/>
      <c r="CV128" s="228"/>
      <c r="CW128" s="228"/>
      <c r="CX128" s="228"/>
      <c r="CY128" s="228"/>
      <c r="CZ128" s="228"/>
      <c r="DA128" s="228"/>
      <c r="DB128" s="228"/>
      <c r="DC128" s="228"/>
      <c r="DD128" s="228"/>
      <c r="DE128" s="228"/>
      <c r="DF128" s="228"/>
      <c r="DG128" s="228"/>
      <c r="DH128" s="228"/>
      <c r="DI128" s="228"/>
      <c r="DJ128" s="228"/>
      <c r="DK128" s="228"/>
      <c r="DL128" s="228"/>
      <c r="DM128" s="228"/>
      <c r="DN128" s="228"/>
      <c r="DO128" s="228"/>
      <c r="DP128" s="228"/>
      <c r="DQ128" s="228"/>
      <c r="DR128" s="228"/>
      <c r="DS128" s="228"/>
      <c r="DT128" s="228"/>
      <c r="DU128" s="228"/>
      <c r="DV128" s="228"/>
      <c r="DW128" s="228"/>
      <c r="DX128" s="228"/>
      <c r="DY128" s="228"/>
      <c r="DZ128" s="228"/>
      <c r="EA128" s="228"/>
      <c r="EB128" s="228"/>
      <c r="EC128" s="228"/>
      <c r="ED128" s="228"/>
      <c r="EE128" s="228"/>
      <c r="EF128" s="228"/>
      <c r="EG128" s="228"/>
      <c r="EH128" s="228"/>
      <c r="EI128" s="228"/>
      <c r="EJ128" s="228"/>
      <c r="EK128" s="228"/>
      <c r="EL128" s="228"/>
      <c r="EM128" s="228"/>
      <c r="EN128" s="228"/>
      <c r="EO128" s="228"/>
      <c r="EP128" s="228"/>
      <c r="EQ128" s="228"/>
      <c r="ER128" s="228"/>
      <c r="ES128" s="228"/>
      <c r="ET128" s="228"/>
      <c r="EU128" s="228"/>
      <c r="EV128" s="228"/>
      <c r="EW128" s="228"/>
      <c r="EX128" s="228"/>
      <c r="EY128" s="228"/>
      <c r="EZ128" s="228"/>
      <c r="FA128" s="228"/>
      <c r="FB128" s="228"/>
      <c r="FC128" s="228"/>
      <c r="FD128" s="228"/>
      <c r="FE128" s="228"/>
      <c r="FF128" s="228"/>
      <c r="FG128" s="228"/>
      <c r="FH128" s="228"/>
      <c r="FI128" s="228"/>
      <c r="FJ128" s="228"/>
      <c r="FK128" s="228"/>
      <c r="FL128" s="228"/>
      <c r="FM128" s="228"/>
      <c r="FN128" s="228"/>
      <c r="FO128" s="228"/>
      <c r="FP128" s="228"/>
      <c r="FQ128" s="228"/>
      <c r="FR128" s="228"/>
      <c r="FS128" s="228"/>
      <c r="FT128" s="228"/>
      <c r="FU128" s="228"/>
      <c r="FV128" s="228"/>
      <c r="FW128" s="228"/>
      <c r="FX128" s="228"/>
      <c r="FY128" s="228"/>
      <c r="FZ128" s="228"/>
      <c r="GA128" s="228"/>
      <c r="GB128" s="228"/>
      <c r="GC128" s="228"/>
      <c r="GD128" s="228"/>
      <c r="GE128" s="228"/>
      <c r="GF128" s="228"/>
      <c r="GG128" s="228"/>
      <c r="GH128" s="228"/>
      <c r="GI128" s="228"/>
      <c r="GJ128" s="228"/>
      <c r="GK128" s="228"/>
      <c r="GL128" s="228"/>
      <c r="GM128" s="228"/>
      <c r="GN128" s="228"/>
      <c r="GO128" s="228"/>
      <c r="GP128" s="228"/>
      <c r="GQ128" s="228"/>
      <c r="GR128" s="228"/>
      <c r="GS128" s="228"/>
      <c r="GT128" s="228"/>
      <c r="GU128" s="228"/>
      <c r="GV128" s="228"/>
      <c r="GW128" s="228"/>
      <c r="GX128" s="228"/>
      <c r="GY128" s="228"/>
      <c r="GZ128" s="228"/>
      <c r="HA128" s="228"/>
      <c r="HB128" s="228"/>
      <c r="HC128" s="228"/>
      <c r="HD128" s="228"/>
      <c r="HE128" s="228"/>
      <c r="HF128" s="228"/>
      <c r="HG128" s="228"/>
      <c r="HH128" s="228"/>
      <c r="HI128" s="228"/>
      <c r="HJ128" s="228"/>
      <c r="HK128" s="228"/>
      <c r="HL128" s="228"/>
      <c r="HM128" s="228"/>
      <c r="HN128" s="228"/>
      <c r="HO128" s="228"/>
      <c r="HP128" s="228"/>
      <c r="HQ128" s="228"/>
      <c r="HR128" s="228"/>
      <c r="HS128" s="228"/>
      <c r="HT128" s="228"/>
      <c r="HU128" s="228"/>
      <c r="HV128" s="228"/>
      <c r="HW128" s="228"/>
      <c r="HX128" s="228"/>
      <c r="HY128" s="228"/>
      <c r="HZ128" s="228"/>
      <c r="IA128" s="228"/>
      <c r="IB128" s="228"/>
      <c r="IC128" s="228"/>
      <c r="ID128" s="228"/>
      <c r="IE128" s="228"/>
      <c r="IF128" s="228"/>
      <c r="IG128" s="228"/>
      <c r="IH128" s="228"/>
      <c r="II128" s="228"/>
      <c r="IJ128" s="228"/>
      <c r="IK128" s="228"/>
      <c r="IL128" s="228"/>
      <c r="IM128" s="228"/>
      <c r="IN128" s="228"/>
      <c r="IO128" s="228"/>
      <c r="IP128" s="228"/>
      <c r="IQ128" s="228"/>
      <c r="IR128" s="228"/>
      <c r="IS128" s="228"/>
      <c r="IT128" s="228"/>
      <c r="IU128" s="228"/>
      <c r="IV128" s="228"/>
      <c r="IW128" s="228"/>
      <c r="IX128" s="228"/>
      <c r="IY128" s="228"/>
      <c r="IZ128" s="228"/>
      <c r="JA128" s="228"/>
      <c r="JB128" s="228"/>
      <c r="JC128" s="228"/>
      <c r="JD128" s="228"/>
      <c r="JE128" s="228"/>
      <c r="JF128" s="228"/>
      <c r="JG128" s="228"/>
      <c r="JH128" s="228"/>
      <c r="JI128" s="228"/>
      <c r="JJ128" s="228"/>
      <c r="JK128" s="228"/>
      <c r="JL128" s="228"/>
      <c r="JM128" s="228"/>
      <c r="JN128" s="228"/>
      <c r="JO128" s="228"/>
      <c r="JP128" s="228"/>
      <c r="JQ128" s="228"/>
      <c r="JR128" s="228"/>
      <c r="JS128" s="228"/>
      <c r="JT128" s="228"/>
      <c r="JU128" s="228"/>
      <c r="JV128" s="228"/>
      <c r="JW128" s="228"/>
      <c r="JX128" s="228"/>
      <c r="JY128" s="228"/>
      <c r="JZ128" s="228"/>
      <c r="KA128" s="228"/>
      <c r="KB128" s="228"/>
      <c r="KC128" s="228"/>
      <c r="KD128" s="228"/>
      <c r="KE128" s="228"/>
      <c r="KF128" s="228"/>
      <c r="KG128" s="228"/>
      <c r="KH128" s="228"/>
      <c r="KI128" s="228"/>
      <c r="KJ128" s="228"/>
      <c r="KK128" s="228"/>
      <c r="KL128" s="228"/>
      <c r="KM128" s="228"/>
      <c r="KN128" s="228"/>
      <c r="KO128" s="228"/>
      <c r="KP128" s="228"/>
      <c r="KQ128" s="228"/>
      <c r="KR128" s="228"/>
      <c r="KS128" s="228"/>
      <c r="KT128" s="228"/>
      <c r="KU128" s="228"/>
      <c r="KV128" s="228"/>
      <c r="KW128" s="228"/>
      <c r="KX128" s="228"/>
      <c r="KY128" s="228"/>
      <c r="KZ128" s="228"/>
      <c r="LA128" s="228"/>
      <c r="LB128" s="228"/>
      <c r="LC128" s="228"/>
      <c r="LD128" s="228"/>
      <c r="LE128" s="228"/>
      <c r="LF128" s="228"/>
      <c r="LG128" s="228"/>
      <c r="LH128" s="228"/>
      <c r="LI128" s="228"/>
      <c r="LJ128" s="228"/>
      <c r="LK128" s="228"/>
      <c r="LL128" s="228"/>
      <c r="LM128" s="228"/>
      <c r="LN128" s="228"/>
      <c r="LO128" s="228"/>
      <c r="LP128" s="228"/>
      <c r="LQ128" s="228"/>
      <c r="LR128" s="228"/>
      <c r="LS128" s="228"/>
      <c r="LT128" s="228"/>
      <c r="LU128" s="228"/>
      <c r="LV128" s="228"/>
      <c r="LW128" s="228"/>
      <c r="LX128" s="228"/>
      <c r="LY128" s="228"/>
      <c r="LZ128" s="228"/>
      <c r="MA128" s="228"/>
      <c r="MB128" s="228"/>
      <c r="MC128" s="228"/>
      <c r="MD128" s="228"/>
      <c r="ME128" s="228"/>
      <c r="MF128" s="228"/>
      <c r="MG128" s="228"/>
      <c r="MH128" s="228"/>
      <c r="MI128" s="228"/>
      <c r="MJ128" s="228"/>
      <c r="MK128" s="228"/>
      <c r="ML128" s="228"/>
      <c r="MM128" s="228"/>
      <c r="MN128" s="228"/>
      <c r="MO128" s="228"/>
      <c r="MP128" s="228"/>
      <c r="MQ128" s="228"/>
      <c r="MR128" s="228"/>
      <c r="MS128" s="228"/>
      <c r="MT128" s="228"/>
      <c r="MU128" s="228"/>
      <c r="MV128" s="228"/>
      <c r="MW128" s="228"/>
      <c r="MX128" s="228"/>
      <c r="MY128" s="228"/>
      <c r="MZ128" s="228"/>
      <c r="NA128" s="228"/>
      <c r="NB128" s="228"/>
      <c r="NC128" s="228"/>
      <c r="ND128" s="228"/>
      <c r="NE128" s="228"/>
      <c r="NF128" s="228"/>
      <c r="NG128" s="228"/>
      <c r="NH128" s="228"/>
      <c r="NI128" s="228"/>
      <c r="NJ128" s="228"/>
      <c r="NK128" s="228"/>
      <c r="NL128" s="228"/>
      <c r="NM128" s="228"/>
      <c r="NN128" s="228"/>
      <c r="NO128" s="228"/>
      <c r="NP128" s="228"/>
      <c r="NQ128" s="228"/>
      <c r="NR128" s="228"/>
      <c r="NS128" s="228"/>
      <c r="NT128" s="228"/>
      <c r="NU128" s="228"/>
      <c r="NV128" s="228"/>
      <c r="NW128" s="228"/>
      <c r="NX128" s="228"/>
      <c r="NY128" s="228"/>
      <c r="NZ128" s="228"/>
      <c r="OA128" s="228"/>
      <c r="OB128" s="228"/>
      <c r="OC128" s="228"/>
      <c r="OD128" s="228"/>
      <c r="OE128" s="228"/>
      <c r="OF128" s="228"/>
      <c r="OG128" s="228"/>
      <c r="OH128" s="228"/>
      <c r="OI128" s="228"/>
      <c r="OJ128" s="228"/>
      <c r="OK128" s="228"/>
      <c r="OL128" s="228"/>
      <c r="OM128" s="228"/>
      <c r="ON128" s="228"/>
      <c r="OO128" s="228"/>
      <c r="OP128" s="228"/>
      <c r="OQ128" s="228"/>
      <c r="OR128" s="228"/>
      <c r="OS128" s="228"/>
      <c r="OT128" s="228"/>
      <c r="OU128" s="228"/>
      <c r="OV128" s="228"/>
      <c r="OW128" s="228"/>
      <c r="OX128" s="228"/>
      <c r="OY128" s="228"/>
      <c r="OZ128" s="228"/>
      <c r="PA128" s="228"/>
      <c r="PB128" s="228"/>
      <c r="PC128" s="228"/>
      <c r="PD128" s="228"/>
      <c r="PE128" s="228"/>
      <c r="PF128" s="228"/>
      <c r="PG128" s="228"/>
      <c r="PH128" s="228"/>
      <c r="PI128" s="228"/>
      <c r="PJ128" s="228"/>
      <c r="PK128" s="228"/>
      <c r="PL128" s="228"/>
      <c r="PM128" s="228"/>
      <c r="PN128" s="228"/>
      <c r="PO128" s="228"/>
      <c r="PP128" s="228"/>
      <c r="PQ128" s="228"/>
      <c r="PR128" s="228"/>
      <c r="PS128" s="228"/>
      <c r="PT128" s="228"/>
      <c r="PU128" s="228"/>
      <c r="PV128" s="228"/>
      <c r="PW128" s="228"/>
      <c r="PX128" s="228"/>
      <c r="PY128" s="228"/>
      <c r="PZ128" s="228"/>
      <c r="QA128" s="228"/>
      <c r="QB128" s="228"/>
      <c r="QC128" s="228"/>
      <c r="QD128" s="228"/>
      <c r="QE128" s="228"/>
      <c r="QF128" s="228"/>
      <c r="QG128" s="228"/>
      <c r="QH128" s="228"/>
      <c r="QI128" s="228"/>
      <c r="QJ128" s="228"/>
      <c r="QK128" s="228"/>
      <c r="QL128" s="228"/>
      <c r="QM128" s="228"/>
      <c r="QN128" s="228"/>
      <c r="QO128" s="228"/>
      <c r="QP128" s="228"/>
      <c r="QQ128" s="228"/>
      <c r="QR128" s="228"/>
      <c r="QS128" s="228"/>
      <c r="QT128" s="228"/>
      <c r="QU128" s="228"/>
      <c r="QV128" s="228"/>
      <c r="QW128" s="228"/>
      <c r="QX128" s="228"/>
      <c r="QY128" s="228"/>
      <c r="QZ128" s="228"/>
      <c r="RA128" s="228"/>
      <c r="RB128" s="228"/>
      <c r="RC128" s="228"/>
      <c r="RD128" s="228"/>
      <c r="RE128" s="228"/>
      <c r="RF128" s="228"/>
      <c r="RG128" s="228"/>
      <c r="RH128" s="228"/>
      <c r="RI128" s="228"/>
      <c r="RJ128" s="228"/>
      <c r="RK128" s="228"/>
      <c r="RL128" s="228"/>
      <c r="RM128" s="228"/>
      <c r="RN128" s="228"/>
      <c r="RO128" s="228"/>
      <c r="RP128" s="228"/>
      <c r="RQ128" s="228"/>
      <c r="RR128" s="228"/>
      <c r="RS128" s="228"/>
      <c r="RT128" s="228"/>
      <c r="RU128" s="228"/>
      <c r="RV128" s="228"/>
      <c r="RW128" s="228"/>
      <c r="RX128" s="228"/>
      <c r="RY128" s="228"/>
      <c r="RZ128" s="228"/>
      <c r="SA128" s="228"/>
      <c r="SB128" s="228"/>
      <c r="SC128" s="228"/>
      <c r="SD128" s="228"/>
      <c r="SE128" s="228"/>
      <c r="SF128" s="228"/>
      <c r="SG128" s="228"/>
      <c r="SH128" s="228"/>
      <c r="SI128" s="228"/>
      <c r="SJ128" s="228"/>
      <c r="SK128" s="228"/>
      <c r="SL128" s="228"/>
      <c r="SM128" s="228"/>
      <c r="SN128" s="228"/>
      <c r="SO128" s="228"/>
      <c r="SP128" s="228"/>
      <c r="SQ128" s="228"/>
      <c r="SR128" s="228"/>
      <c r="SS128" s="228"/>
      <c r="ST128" s="228"/>
      <c r="SU128" s="228"/>
      <c r="SV128" s="228"/>
      <c r="SW128" s="228"/>
      <c r="SX128" s="228"/>
      <c r="SY128" s="228"/>
      <c r="SZ128" s="228"/>
      <c r="TA128" s="228"/>
      <c r="TB128" s="228"/>
      <c r="TC128" s="228"/>
      <c r="TD128" s="228"/>
      <c r="TE128" s="228"/>
      <c r="TF128" s="228"/>
      <c r="TG128" s="228"/>
      <c r="TH128" s="228"/>
      <c r="TI128" s="228"/>
      <c r="TJ128" s="228"/>
      <c r="TK128" s="228"/>
      <c r="TL128" s="228"/>
      <c r="TM128" s="228"/>
      <c r="TN128" s="228"/>
      <c r="TO128" s="228"/>
      <c r="TP128" s="228"/>
      <c r="TQ128" s="228"/>
      <c r="TR128" s="228"/>
      <c r="TS128" s="228"/>
      <c r="TT128" s="228"/>
      <c r="TU128" s="228"/>
    </row>
    <row r="129" spans="1:541" ht="30" outlineLevel="1" x14ac:dyDescent="0.25">
      <c r="A129" s="230">
        <v>1</v>
      </c>
      <c r="B129" s="195" t="s">
        <v>266</v>
      </c>
      <c r="C129" s="210" t="s">
        <v>139</v>
      </c>
      <c r="D129" s="267" t="s">
        <v>736</v>
      </c>
      <c r="E129" s="210" t="s">
        <v>803</v>
      </c>
      <c r="F129" s="216" t="s">
        <v>1095</v>
      </c>
      <c r="G129" s="216" t="s">
        <v>1067</v>
      </c>
      <c r="H129" s="216" t="s">
        <v>1166</v>
      </c>
      <c r="I129" s="210"/>
      <c r="J129" s="210"/>
      <c r="K129" s="210"/>
      <c r="L129" s="210"/>
      <c r="M129" s="216" t="s">
        <v>365</v>
      </c>
      <c r="N129" s="210"/>
      <c r="O129" s="210"/>
      <c r="P129" s="210"/>
      <c r="Q129" s="229"/>
    </row>
    <row r="130" spans="1:541" ht="30" outlineLevel="1" x14ac:dyDescent="0.25">
      <c r="A130" s="232">
        <f>A129+1</f>
        <v>2</v>
      </c>
      <c r="B130" s="193" t="s">
        <v>266</v>
      </c>
      <c r="C130" s="5" t="s">
        <v>1074</v>
      </c>
      <c r="D130" s="204" t="s">
        <v>1179</v>
      </c>
      <c r="E130" s="5" t="s">
        <v>803</v>
      </c>
      <c r="F130" s="213" t="s">
        <v>1095</v>
      </c>
      <c r="G130" s="213" t="s">
        <v>1067</v>
      </c>
      <c r="H130" s="213" t="s">
        <v>1166</v>
      </c>
      <c r="I130" s="5"/>
      <c r="J130" s="5"/>
      <c r="K130" s="5"/>
      <c r="L130" s="5"/>
      <c r="M130" s="213" t="s">
        <v>365</v>
      </c>
      <c r="N130" s="5"/>
      <c r="O130" s="5"/>
      <c r="P130" s="5"/>
      <c r="Q130" s="234"/>
    </row>
    <row r="131" spans="1:541" outlineLevel="1" x14ac:dyDescent="0.25">
      <c r="A131" s="232">
        <f>A130+1</f>
        <v>3</v>
      </c>
      <c r="B131" s="193" t="s">
        <v>266</v>
      </c>
      <c r="C131" s="5" t="s">
        <v>1089</v>
      </c>
      <c r="D131" s="204" t="s">
        <v>743</v>
      </c>
      <c r="E131" s="5" t="s">
        <v>803</v>
      </c>
      <c r="F131" s="213" t="s">
        <v>1095</v>
      </c>
      <c r="G131" s="213" t="s">
        <v>1067</v>
      </c>
      <c r="H131" s="213" t="s">
        <v>1166</v>
      </c>
      <c r="I131" s="5"/>
      <c r="J131" s="5"/>
      <c r="K131" s="5"/>
      <c r="L131" s="5"/>
      <c r="M131" s="213" t="s">
        <v>365</v>
      </c>
      <c r="N131" s="5"/>
      <c r="O131" s="5"/>
      <c r="P131" s="5"/>
      <c r="Q131" s="234"/>
    </row>
    <row r="132" spans="1:541" outlineLevel="1" x14ac:dyDescent="0.25">
      <c r="A132" s="232">
        <f>A131+1</f>
        <v>4</v>
      </c>
      <c r="B132" s="193" t="s">
        <v>266</v>
      </c>
      <c r="C132" s="5" t="s">
        <v>1073</v>
      </c>
      <c r="D132" s="204" t="s">
        <v>745</v>
      </c>
      <c r="E132" s="5" t="s">
        <v>803</v>
      </c>
      <c r="F132" s="213" t="s">
        <v>1095</v>
      </c>
      <c r="G132" s="213" t="s">
        <v>1067</v>
      </c>
      <c r="H132" s="213" t="s">
        <v>1166</v>
      </c>
      <c r="I132" s="5"/>
      <c r="J132" s="5"/>
      <c r="K132" s="5"/>
      <c r="L132" s="5"/>
      <c r="M132" s="213" t="s">
        <v>365</v>
      </c>
      <c r="N132" s="5"/>
      <c r="O132" s="5"/>
      <c r="P132" s="5"/>
      <c r="Q132" s="234"/>
    </row>
    <row r="133" spans="1:541" outlineLevel="1" x14ac:dyDescent="0.25">
      <c r="A133" s="232">
        <v>5</v>
      </c>
      <c r="B133" s="193" t="s">
        <v>266</v>
      </c>
      <c r="C133" s="5" t="s">
        <v>1144</v>
      </c>
      <c r="D133" s="204" t="s">
        <v>1180</v>
      </c>
      <c r="E133" s="5" t="s">
        <v>803</v>
      </c>
      <c r="F133" s="213"/>
      <c r="G133" s="213" t="s">
        <v>1173</v>
      </c>
      <c r="H133" s="213" t="s">
        <v>1166</v>
      </c>
      <c r="I133" s="5"/>
      <c r="J133" s="5"/>
      <c r="K133" s="5"/>
      <c r="L133" s="5"/>
      <c r="M133" s="213" t="s">
        <v>365</v>
      </c>
      <c r="N133" s="5"/>
      <c r="O133" s="5"/>
      <c r="P133" s="5"/>
      <c r="Q133" s="234"/>
    </row>
    <row r="134" spans="1:541" ht="15.75" outlineLevel="1" thickBot="1" x14ac:dyDescent="0.3">
      <c r="A134" s="241">
        <v>6</v>
      </c>
      <c r="B134" s="194" t="s">
        <v>266</v>
      </c>
      <c r="C134" s="209" t="s">
        <v>1009</v>
      </c>
      <c r="D134" s="208" t="s">
        <v>1086</v>
      </c>
      <c r="E134" s="209" t="s">
        <v>803</v>
      </c>
      <c r="F134" s="215"/>
      <c r="G134" s="215" t="s">
        <v>1067</v>
      </c>
      <c r="H134" s="215" t="s">
        <v>1167</v>
      </c>
      <c r="I134" s="209"/>
      <c r="J134" s="209"/>
      <c r="K134" s="209"/>
      <c r="L134" s="209"/>
      <c r="M134" s="215" t="s">
        <v>365</v>
      </c>
      <c r="N134" s="209"/>
      <c r="O134" s="209"/>
      <c r="P134" s="209"/>
      <c r="Q134" s="242"/>
    </row>
    <row r="135" spans="1:541" s="201" customFormat="1" ht="15.75" thickBot="1" x14ac:dyDescent="0.3">
      <c r="A135" s="243"/>
      <c r="B135" s="244"/>
      <c r="F135" s="243"/>
      <c r="G135" s="243"/>
      <c r="H135" s="243"/>
      <c r="M135" s="243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228"/>
      <c r="AJ135" s="228"/>
      <c r="AK135" s="228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 s="228"/>
      <c r="AX135" s="228"/>
      <c r="AY135" s="228"/>
      <c r="AZ135" s="228"/>
      <c r="BA135" s="228"/>
      <c r="BB135" s="228"/>
      <c r="BC135" s="228"/>
      <c r="BD135" s="228"/>
      <c r="BE135" s="228"/>
      <c r="BF135" s="228"/>
      <c r="BG135" s="228"/>
      <c r="BH135" s="228"/>
      <c r="BI135" s="228"/>
      <c r="BJ135" s="228"/>
      <c r="BK135" s="228"/>
      <c r="BL135" s="228"/>
      <c r="BM135" s="228"/>
      <c r="BN135" s="228"/>
      <c r="BO135" s="228"/>
      <c r="BP135" s="228"/>
      <c r="BQ135" s="228"/>
      <c r="BR135" s="228"/>
      <c r="BS135" s="228"/>
      <c r="BT135" s="228"/>
      <c r="BU135" s="228"/>
      <c r="BV135" s="228"/>
      <c r="BW135" s="228"/>
      <c r="BX135" s="228"/>
      <c r="BY135" s="228"/>
      <c r="BZ135" s="228"/>
      <c r="CA135" s="228"/>
      <c r="CB135" s="228"/>
      <c r="CC135" s="228"/>
      <c r="CD135" s="228"/>
      <c r="CE135" s="228"/>
      <c r="CF135" s="228"/>
      <c r="CG135" s="228"/>
      <c r="CH135" s="228"/>
      <c r="CI135" s="228"/>
      <c r="CJ135" s="228"/>
      <c r="CK135" s="228"/>
      <c r="CL135" s="228"/>
      <c r="CM135" s="228"/>
      <c r="CN135" s="228"/>
      <c r="CO135" s="228"/>
      <c r="CP135" s="228"/>
      <c r="CQ135" s="228"/>
      <c r="CR135" s="228"/>
      <c r="CS135" s="228"/>
      <c r="CT135" s="228"/>
      <c r="CU135" s="228"/>
      <c r="CV135" s="228"/>
      <c r="CW135" s="228"/>
      <c r="CX135" s="228"/>
      <c r="CY135" s="228"/>
      <c r="CZ135" s="228"/>
      <c r="DA135" s="228"/>
      <c r="DB135" s="228"/>
      <c r="DC135" s="228"/>
      <c r="DD135" s="228"/>
      <c r="DE135" s="228"/>
      <c r="DF135" s="228"/>
      <c r="DG135" s="228"/>
      <c r="DH135" s="228"/>
      <c r="DI135" s="228"/>
      <c r="DJ135" s="228"/>
      <c r="DK135" s="228"/>
      <c r="DL135" s="228"/>
      <c r="DM135" s="228"/>
      <c r="DN135" s="228"/>
      <c r="DO135" s="228"/>
      <c r="DP135" s="228"/>
      <c r="DQ135" s="228"/>
      <c r="DR135" s="228"/>
      <c r="DS135" s="228"/>
      <c r="DT135" s="228"/>
      <c r="DU135" s="228"/>
      <c r="DV135" s="228"/>
      <c r="DW135" s="228"/>
      <c r="DX135" s="228"/>
      <c r="DY135" s="228"/>
      <c r="DZ135" s="228"/>
      <c r="EA135" s="228"/>
      <c r="EB135" s="228"/>
      <c r="EC135" s="228"/>
      <c r="ED135" s="228"/>
      <c r="EE135" s="228"/>
      <c r="EF135" s="228"/>
      <c r="EG135" s="228"/>
      <c r="EH135" s="228"/>
      <c r="EI135" s="228"/>
      <c r="EJ135" s="228"/>
      <c r="EK135" s="228"/>
      <c r="EL135" s="228"/>
      <c r="EM135" s="228"/>
      <c r="EN135" s="228"/>
      <c r="EO135" s="228"/>
      <c r="EP135" s="228"/>
      <c r="EQ135" s="228"/>
      <c r="ER135" s="228"/>
      <c r="ES135" s="228"/>
      <c r="ET135" s="228"/>
      <c r="EU135" s="228"/>
      <c r="EV135" s="228"/>
      <c r="EW135" s="228"/>
      <c r="EX135" s="228"/>
      <c r="EY135" s="228"/>
      <c r="EZ135" s="228"/>
      <c r="FA135" s="228"/>
      <c r="FB135" s="228"/>
      <c r="FC135" s="228"/>
      <c r="FD135" s="228"/>
      <c r="FE135" s="228"/>
      <c r="FF135" s="228"/>
      <c r="FG135" s="228"/>
      <c r="FH135" s="228"/>
      <c r="FI135" s="228"/>
      <c r="FJ135" s="228"/>
      <c r="FK135" s="228"/>
      <c r="FL135" s="228"/>
      <c r="FM135" s="228"/>
      <c r="FN135" s="228"/>
      <c r="FO135" s="228"/>
      <c r="FP135" s="228"/>
      <c r="FQ135" s="228"/>
      <c r="FR135" s="228"/>
      <c r="FS135" s="228"/>
      <c r="FT135" s="228"/>
      <c r="FU135" s="228"/>
      <c r="FV135" s="228"/>
      <c r="FW135" s="228"/>
      <c r="FX135" s="228"/>
      <c r="FY135" s="228"/>
      <c r="FZ135" s="228"/>
      <c r="GA135" s="228"/>
      <c r="GB135" s="228"/>
      <c r="GC135" s="228"/>
      <c r="GD135" s="228"/>
      <c r="GE135" s="228"/>
      <c r="GF135" s="228"/>
      <c r="GG135" s="228"/>
      <c r="GH135" s="228"/>
      <c r="GI135" s="228"/>
      <c r="GJ135" s="228"/>
      <c r="GK135" s="228"/>
      <c r="GL135" s="228"/>
      <c r="GM135" s="228"/>
      <c r="GN135" s="228"/>
      <c r="GO135" s="228"/>
      <c r="GP135" s="228"/>
      <c r="GQ135" s="228"/>
      <c r="GR135" s="228"/>
      <c r="GS135" s="228"/>
      <c r="GT135" s="228"/>
      <c r="GU135" s="228"/>
      <c r="GV135" s="228"/>
      <c r="GW135" s="228"/>
      <c r="GX135" s="228"/>
      <c r="GY135" s="228"/>
      <c r="GZ135" s="228"/>
      <c r="HA135" s="228"/>
      <c r="HB135" s="228"/>
      <c r="HC135" s="228"/>
      <c r="HD135" s="228"/>
      <c r="HE135" s="228"/>
      <c r="HF135" s="228"/>
      <c r="HG135" s="228"/>
      <c r="HH135" s="228"/>
      <c r="HI135" s="228"/>
      <c r="HJ135" s="228"/>
      <c r="HK135" s="228"/>
      <c r="HL135" s="228"/>
      <c r="HM135" s="228"/>
      <c r="HN135" s="228"/>
      <c r="HO135" s="228"/>
      <c r="HP135" s="228"/>
      <c r="HQ135" s="228"/>
      <c r="HR135" s="228"/>
      <c r="HS135" s="228"/>
      <c r="HT135" s="228"/>
      <c r="HU135" s="228"/>
      <c r="HV135" s="228"/>
      <c r="HW135" s="228"/>
      <c r="HX135" s="228"/>
      <c r="HY135" s="228"/>
      <c r="HZ135" s="228"/>
      <c r="IA135" s="228"/>
      <c r="IB135" s="228"/>
      <c r="IC135" s="228"/>
      <c r="ID135" s="228"/>
      <c r="IE135" s="228"/>
      <c r="IF135" s="228"/>
      <c r="IG135" s="228"/>
      <c r="IH135" s="228"/>
      <c r="II135" s="228"/>
      <c r="IJ135" s="228"/>
      <c r="IK135" s="228"/>
      <c r="IL135" s="228"/>
      <c r="IM135" s="228"/>
      <c r="IN135" s="228"/>
      <c r="IO135" s="228"/>
      <c r="IP135" s="228"/>
      <c r="IQ135" s="228"/>
      <c r="IR135" s="228"/>
      <c r="IS135" s="228"/>
      <c r="IT135" s="228"/>
      <c r="IU135" s="228"/>
      <c r="IV135" s="228"/>
      <c r="IW135" s="228"/>
      <c r="IX135" s="228"/>
      <c r="IY135" s="228"/>
      <c r="IZ135" s="228"/>
      <c r="JA135" s="228"/>
      <c r="JB135" s="228"/>
      <c r="JC135" s="228"/>
      <c r="JD135" s="228"/>
      <c r="JE135" s="228"/>
      <c r="JF135" s="228"/>
      <c r="JG135" s="228"/>
      <c r="JH135" s="228"/>
      <c r="JI135" s="228"/>
      <c r="JJ135" s="228"/>
      <c r="JK135" s="228"/>
      <c r="JL135" s="228"/>
      <c r="JM135" s="228"/>
      <c r="JN135" s="228"/>
      <c r="JO135" s="228"/>
      <c r="JP135" s="228"/>
      <c r="JQ135" s="228"/>
      <c r="JR135" s="228"/>
      <c r="JS135" s="228"/>
      <c r="JT135" s="228"/>
      <c r="JU135" s="228"/>
      <c r="JV135" s="228"/>
      <c r="JW135" s="228"/>
      <c r="JX135" s="228"/>
      <c r="JY135" s="228"/>
      <c r="JZ135" s="228"/>
      <c r="KA135" s="228"/>
      <c r="KB135" s="228"/>
      <c r="KC135" s="228"/>
      <c r="KD135" s="228"/>
      <c r="KE135" s="228"/>
      <c r="KF135" s="228"/>
      <c r="KG135" s="228"/>
      <c r="KH135" s="228"/>
      <c r="KI135" s="228"/>
      <c r="KJ135" s="228"/>
      <c r="KK135" s="228"/>
      <c r="KL135" s="228"/>
      <c r="KM135" s="228"/>
      <c r="KN135" s="228"/>
      <c r="KO135" s="228"/>
      <c r="KP135" s="228"/>
      <c r="KQ135" s="228"/>
      <c r="KR135" s="228"/>
      <c r="KS135" s="228"/>
      <c r="KT135" s="228"/>
      <c r="KU135" s="228"/>
      <c r="KV135" s="228"/>
      <c r="KW135" s="228"/>
      <c r="KX135" s="228"/>
      <c r="KY135" s="228"/>
      <c r="KZ135" s="228"/>
      <c r="LA135" s="228"/>
      <c r="LB135" s="228"/>
      <c r="LC135" s="228"/>
      <c r="LD135" s="228"/>
      <c r="LE135" s="228"/>
      <c r="LF135" s="228"/>
      <c r="LG135" s="228"/>
      <c r="LH135" s="228"/>
      <c r="LI135" s="228"/>
      <c r="LJ135" s="228"/>
      <c r="LK135" s="228"/>
      <c r="LL135" s="228"/>
      <c r="LM135" s="228"/>
      <c r="LN135" s="228"/>
      <c r="LO135" s="228"/>
      <c r="LP135" s="228"/>
      <c r="LQ135" s="228"/>
      <c r="LR135" s="228"/>
      <c r="LS135" s="228"/>
      <c r="LT135" s="228"/>
      <c r="LU135" s="228"/>
      <c r="LV135" s="228"/>
      <c r="LW135" s="228"/>
      <c r="LX135" s="228"/>
      <c r="LY135" s="228"/>
      <c r="LZ135" s="228"/>
      <c r="MA135" s="228"/>
      <c r="MB135" s="228"/>
      <c r="MC135" s="228"/>
      <c r="MD135" s="228"/>
      <c r="ME135" s="228"/>
      <c r="MF135" s="228"/>
      <c r="MG135" s="228"/>
      <c r="MH135" s="228"/>
      <c r="MI135" s="228"/>
      <c r="MJ135" s="228"/>
      <c r="MK135" s="228"/>
      <c r="ML135" s="228"/>
      <c r="MM135" s="228"/>
      <c r="MN135" s="228"/>
      <c r="MO135" s="228"/>
      <c r="MP135" s="228"/>
      <c r="MQ135" s="228"/>
      <c r="MR135" s="228"/>
      <c r="MS135" s="228"/>
      <c r="MT135" s="228"/>
      <c r="MU135" s="228"/>
      <c r="MV135" s="228"/>
      <c r="MW135" s="228"/>
      <c r="MX135" s="228"/>
      <c r="MY135" s="228"/>
      <c r="MZ135" s="228"/>
      <c r="NA135" s="228"/>
      <c r="NB135" s="228"/>
      <c r="NC135" s="228"/>
      <c r="ND135" s="228"/>
      <c r="NE135" s="228"/>
      <c r="NF135" s="228"/>
      <c r="NG135" s="228"/>
      <c r="NH135" s="228"/>
      <c r="NI135" s="228"/>
      <c r="NJ135" s="228"/>
      <c r="NK135" s="228"/>
      <c r="NL135" s="228"/>
      <c r="NM135" s="228"/>
      <c r="NN135" s="228"/>
      <c r="NO135" s="228"/>
      <c r="NP135" s="228"/>
      <c r="NQ135" s="228"/>
      <c r="NR135" s="228"/>
      <c r="NS135" s="228"/>
      <c r="NT135" s="228"/>
      <c r="NU135" s="228"/>
      <c r="NV135" s="228"/>
      <c r="NW135" s="228"/>
      <c r="NX135" s="228"/>
      <c r="NY135" s="228"/>
      <c r="NZ135" s="228"/>
      <c r="OA135" s="228"/>
      <c r="OB135" s="228"/>
      <c r="OC135" s="228"/>
      <c r="OD135" s="228"/>
      <c r="OE135" s="228"/>
      <c r="OF135" s="228"/>
      <c r="OG135" s="228"/>
      <c r="OH135" s="228"/>
      <c r="OI135" s="228"/>
      <c r="OJ135" s="228"/>
      <c r="OK135" s="228"/>
      <c r="OL135" s="228"/>
      <c r="OM135" s="228"/>
      <c r="ON135" s="228"/>
      <c r="OO135" s="228"/>
      <c r="OP135" s="228"/>
      <c r="OQ135" s="228"/>
      <c r="OR135" s="228"/>
      <c r="OS135" s="228"/>
      <c r="OT135" s="228"/>
      <c r="OU135" s="228"/>
      <c r="OV135" s="228"/>
      <c r="OW135" s="228"/>
      <c r="OX135" s="228"/>
      <c r="OY135" s="228"/>
      <c r="OZ135" s="228"/>
      <c r="PA135" s="228"/>
      <c r="PB135" s="228"/>
      <c r="PC135" s="228"/>
      <c r="PD135" s="228"/>
      <c r="PE135" s="228"/>
      <c r="PF135" s="228"/>
      <c r="PG135" s="228"/>
      <c r="PH135" s="228"/>
      <c r="PI135" s="228"/>
      <c r="PJ135" s="228"/>
      <c r="PK135" s="228"/>
      <c r="PL135" s="228"/>
      <c r="PM135" s="228"/>
      <c r="PN135" s="228"/>
      <c r="PO135" s="228"/>
      <c r="PP135" s="228"/>
      <c r="PQ135" s="228"/>
      <c r="PR135" s="228"/>
      <c r="PS135" s="228"/>
      <c r="PT135" s="228"/>
      <c r="PU135" s="228"/>
      <c r="PV135" s="228"/>
      <c r="PW135" s="228"/>
      <c r="PX135" s="228"/>
      <c r="PY135" s="228"/>
      <c r="PZ135" s="228"/>
      <c r="QA135" s="228"/>
      <c r="QB135" s="228"/>
      <c r="QC135" s="228"/>
      <c r="QD135" s="228"/>
      <c r="QE135" s="228"/>
      <c r="QF135" s="228"/>
      <c r="QG135" s="228"/>
      <c r="QH135" s="228"/>
      <c r="QI135" s="228"/>
      <c r="QJ135" s="228"/>
      <c r="QK135" s="228"/>
      <c r="QL135" s="228"/>
      <c r="QM135" s="228"/>
      <c r="QN135" s="228"/>
      <c r="QO135" s="228"/>
      <c r="QP135" s="228"/>
      <c r="QQ135" s="228"/>
      <c r="QR135" s="228"/>
      <c r="QS135" s="228"/>
      <c r="QT135" s="228"/>
      <c r="QU135" s="228"/>
      <c r="QV135" s="228"/>
      <c r="QW135" s="228"/>
      <c r="QX135" s="228"/>
      <c r="QY135" s="228"/>
      <c r="QZ135" s="228"/>
      <c r="RA135" s="228"/>
      <c r="RB135" s="228"/>
      <c r="RC135" s="228"/>
      <c r="RD135" s="228"/>
      <c r="RE135" s="228"/>
      <c r="RF135" s="228"/>
      <c r="RG135" s="228"/>
      <c r="RH135" s="228"/>
      <c r="RI135" s="228"/>
      <c r="RJ135" s="228"/>
      <c r="RK135" s="228"/>
      <c r="RL135" s="228"/>
      <c r="RM135" s="228"/>
      <c r="RN135" s="228"/>
      <c r="RO135" s="228"/>
      <c r="RP135" s="228"/>
      <c r="RQ135" s="228"/>
      <c r="RR135" s="228"/>
      <c r="RS135" s="228"/>
      <c r="RT135" s="228"/>
      <c r="RU135" s="228"/>
      <c r="RV135" s="228"/>
      <c r="RW135" s="228"/>
      <c r="RX135" s="228"/>
      <c r="RY135" s="228"/>
      <c r="RZ135" s="228"/>
      <c r="SA135" s="228"/>
      <c r="SB135" s="228"/>
      <c r="SC135" s="228"/>
      <c r="SD135" s="228"/>
      <c r="SE135" s="228"/>
      <c r="SF135" s="228"/>
      <c r="SG135" s="228"/>
      <c r="SH135" s="228"/>
      <c r="SI135" s="228"/>
      <c r="SJ135" s="228"/>
      <c r="SK135" s="228"/>
      <c r="SL135" s="228"/>
      <c r="SM135" s="228"/>
      <c r="SN135" s="228"/>
      <c r="SO135" s="228"/>
      <c r="SP135" s="228"/>
      <c r="SQ135" s="228"/>
      <c r="SR135" s="228"/>
      <c r="SS135" s="228"/>
      <c r="ST135" s="228"/>
      <c r="SU135" s="228"/>
      <c r="SV135" s="228"/>
      <c r="SW135" s="228"/>
      <c r="SX135" s="228"/>
      <c r="SY135" s="228"/>
      <c r="SZ135" s="228"/>
      <c r="TA135" s="228"/>
      <c r="TB135" s="228"/>
      <c r="TC135" s="228"/>
      <c r="TD135" s="228"/>
      <c r="TE135" s="228"/>
      <c r="TF135" s="228"/>
      <c r="TG135" s="228"/>
      <c r="TH135" s="228"/>
      <c r="TI135" s="228"/>
      <c r="TJ135" s="228"/>
      <c r="TK135" s="228"/>
      <c r="TL135" s="228"/>
      <c r="TM135" s="228"/>
      <c r="TN135" s="228"/>
      <c r="TO135" s="228"/>
      <c r="TP135" s="228"/>
      <c r="TQ135" s="228"/>
      <c r="TR135" s="228"/>
      <c r="TS135" s="228"/>
      <c r="TT135" s="228"/>
      <c r="TU135" s="228"/>
    </row>
    <row r="136" spans="1:541" s="268" customFormat="1" outlineLevel="1" collapsed="1" x14ac:dyDescent="0.25">
      <c r="A136" s="230">
        <v>1</v>
      </c>
      <c r="B136" s="195" t="s">
        <v>1075</v>
      </c>
      <c r="C136" s="210" t="s">
        <v>668</v>
      </c>
      <c r="D136" s="210" t="s">
        <v>1078</v>
      </c>
      <c r="E136" s="210" t="s">
        <v>100</v>
      </c>
      <c r="F136" s="216" t="s">
        <v>435</v>
      </c>
      <c r="G136" s="216" t="s">
        <v>805</v>
      </c>
      <c r="H136" s="216" t="s">
        <v>1167</v>
      </c>
      <c r="I136" s="210"/>
      <c r="J136" s="210" t="s">
        <v>794</v>
      </c>
      <c r="K136" s="210" t="s">
        <v>487</v>
      </c>
      <c r="L136" s="210" t="s">
        <v>487</v>
      </c>
      <c r="M136" s="216" t="s">
        <v>487</v>
      </c>
      <c r="N136" s="213" t="s">
        <v>1161</v>
      </c>
      <c r="O136" s="213" t="s">
        <v>1158</v>
      </c>
      <c r="P136" s="213" t="s">
        <v>1162</v>
      </c>
      <c r="Q136" s="229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 s="228"/>
      <c r="AX136" s="228"/>
      <c r="AY136" s="228"/>
      <c r="AZ136" s="228"/>
      <c r="BA136" s="228"/>
      <c r="BB136" s="228"/>
      <c r="BC136" s="228"/>
      <c r="BD136" s="228"/>
      <c r="BE136" s="228"/>
      <c r="BF136" s="228"/>
      <c r="BG136" s="228"/>
      <c r="BH136" s="228"/>
      <c r="BI136" s="228"/>
      <c r="BJ136" s="228"/>
      <c r="BK136" s="228"/>
      <c r="BL136" s="228"/>
      <c r="BM136" s="228"/>
      <c r="BN136" s="228"/>
      <c r="BO136" s="228"/>
      <c r="BP136" s="228"/>
      <c r="BQ136" s="228"/>
      <c r="BR136" s="228"/>
      <c r="BS136" s="228"/>
      <c r="BT136" s="228"/>
      <c r="BU136" s="228"/>
      <c r="BV136" s="228"/>
      <c r="BW136" s="228"/>
      <c r="BX136" s="228"/>
      <c r="BY136" s="228"/>
      <c r="BZ136" s="228"/>
      <c r="CA136" s="228"/>
      <c r="CB136" s="228"/>
      <c r="CC136" s="228"/>
      <c r="CD136" s="228"/>
      <c r="CE136" s="228"/>
      <c r="CF136" s="228"/>
      <c r="CG136" s="228"/>
      <c r="CH136" s="228"/>
      <c r="CI136" s="228"/>
      <c r="CJ136" s="228"/>
      <c r="CK136" s="228"/>
      <c r="CL136" s="228"/>
      <c r="CM136" s="228"/>
      <c r="CN136" s="228"/>
      <c r="CO136" s="228"/>
      <c r="CP136" s="228"/>
      <c r="CQ136" s="228"/>
      <c r="CR136" s="228"/>
      <c r="CS136" s="228"/>
      <c r="CT136" s="228"/>
      <c r="CU136" s="228"/>
      <c r="CV136" s="228"/>
      <c r="CW136" s="228"/>
      <c r="CX136" s="228"/>
      <c r="CY136" s="228"/>
      <c r="CZ136" s="228"/>
      <c r="DA136" s="228"/>
      <c r="DB136" s="228"/>
      <c r="DC136" s="228"/>
      <c r="DD136" s="228"/>
      <c r="DE136" s="228"/>
      <c r="DF136" s="228"/>
      <c r="DG136" s="228"/>
      <c r="DH136" s="228"/>
      <c r="DI136" s="228"/>
      <c r="DJ136" s="228"/>
      <c r="DK136" s="228"/>
      <c r="DL136" s="228"/>
      <c r="DM136" s="228"/>
      <c r="DN136" s="228"/>
      <c r="DO136" s="228"/>
      <c r="DP136" s="228"/>
      <c r="DQ136" s="228"/>
      <c r="DR136" s="228"/>
      <c r="DS136" s="228"/>
      <c r="DT136" s="228"/>
      <c r="DU136" s="228"/>
      <c r="DV136" s="228"/>
      <c r="DW136" s="228"/>
      <c r="DX136" s="228"/>
      <c r="DY136" s="228"/>
      <c r="DZ136" s="228"/>
      <c r="EA136" s="228"/>
      <c r="EB136" s="228"/>
      <c r="EC136" s="228"/>
      <c r="ED136" s="228"/>
      <c r="EE136" s="228"/>
      <c r="EF136" s="228"/>
      <c r="EG136" s="228"/>
      <c r="EH136" s="228"/>
      <c r="EI136" s="228"/>
      <c r="EJ136" s="228"/>
      <c r="EK136" s="228"/>
      <c r="EL136" s="228"/>
      <c r="EM136" s="228"/>
      <c r="EN136" s="228"/>
      <c r="EO136" s="228"/>
      <c r="EP136" s="228"/>
      <c r="EQ136" s="228"/>
      <c r="ER136" s="228"/>
      <c r="ES136" s="228"/>
      <c r="ET136" s="228"/>
      <c r="EU136" s="228"/>
      <c r="EV136" s="228"/>
      <c r="EW136" s="228"/>
      <c r="EX136" s="228"/>
      <c r="EY136" s="228"/>
      <c r="EZ136" s="228"/>
      <c r="FA136" s="228"/>
      <c r="FB136" s="228"/>
      <c r="FC136" s="228"/>
      <c r="FD136" s="228"/>
      <c r="FE136" s="228"/>
      <c r="FF136" s="228"/>
      <c r="FG136" s="228"/>
      <c r="FH136" s="228"/>
      <c r="FI136" s="228"/>
      <c r="FJ136" s="228"/>
      <c r="FK136" s="228"/>
      <c r="FL136" s="228"/>
      <c r="FM136" s="228"/>
      <c r="FN136" s="228"/>
      <c r="FO136" s="228"/>
      <c r="FP136" s="228"/>
      <c r="FQ136" s="228"/>
      <c r="FR136" s="228"/>
      <c r="FS136" s="228"/>
      <c r="FT136" s="228"/>
      <c r="FU136" s="228"/>
      <c r="FV136" s="228"/>
      <c r="FW136" s="228"/>
      <c r="FX136" s="228"/>
      <c r="FY136" s="228"/>
      <c r="FZ136" s="228"/>
      <c r="GA136" s="228"/>
      <c r="GB136" s="228"/>
      <c r="GC136" s="228"/>
      <c r="GD136" s="228"/>
      <c r="GE136" s="228"/>
      <c r="GF136" s="228"/>
      <c r="GG136" s="228"/>
      <c r="GH136" s="228"/>
      <c r="GI136" s="228"/>
      <c r="GJ136" s="228"/>
      <c r="GK136" s="228"/>
      <c r="GL136" s="228"/>
      <c r="GM136" s="228"/>
      <c r="GN136" s="228"/>
      <c r="GO136" s="228"/>
      <c r="GP136" s="228"/>
      <c r="GQ136" s="228"/>
      <c r="GR136" s="228"/>
      <c r="GS136" s="228"/>
      <c r="GT136" s="228"/>
      <c r="GU136" s="228"/>
      <c r="GV136" s="228"/>
      <c r="GW136" s="228"/>
      <c r="GX136" s="228"/>
      <c r="GY136" s="228"/>
      <c r="GZ136" s="228"/>
      <c r="HA136" s="228"/>
      <c r="HB136" s="228"/>
      <c r="HC136" s="228"/>
      <c r="HD136" s="228"/>
      <c r="HE136" s="228"/>
      <c r="HF136" s="228"/>
      <c r="HG136" s="228"/>
      <c r="HH136" s="228"/>
      <c r="HI136" s="228"/>
      <c r="HJ136" s="228"/>
      <c r="HK136" s="228"/>
      <c r="HL136" s="228"/>
      <c r="HM136" s="228"/>
      <c r="HN136" s="228"/>
      <c r="HO136" s="228"/>
      <c r="HP136" s="228"/>
      <c r="HQ136" s="228"/>
      <c r="HR136" s="228"/>
      <c r="HS136" s="228"/>
      <c r="HT136" s="228"/>
      <c r="HU136" s="228"/>
      <c r="HV136" s="228"/>
      <c r="HW136" s="228"/>
      <c r="HX136" s="228"/>
      <c r="HY136" s="228"/>
      <c r="HZ136" s="228"/>
      <c r="IA136" s="228"/>
      <c r="IB136" s="228"/>
      <c r="IC136" s="228"/>
      <c r="ID136" s="228"/>
      <c r="IE136" s="228"/>
      <c r="IF136" s="228"/>
      <c r="IG136" s="228"/>
      <c r="IH136" s="228"/>
      <c r="II136" s="228"/>
      <c r="IJ136" s="228"/>
      <c r="IK136" s="228"/>
      <c r="IL136" s="228"/>
      <c r="IM136" s="228"/>
      <c r="IN136" s="228"/>
      <c r="IO136" s="228"/>
      <c r="IP136" s="228"/>
      <c r="IQ136" s="228"/>
      <c r="IR136" s="228"/>
      <c r="IS136" s="228"/>
      <c r="IT136" s="228"/>
      <c r="IU136" s="228"/>
      <c r="IV136" s="228"/>
      <c r="IW136" s="228"/>
      <c r="IX136" s="228"/>
      <c r="IY136" s="228"/>
      <c r="IZ136" s="228"/>
      <c r="JA136" s="228"/>
      <c r="JB136" s="228"/>
      <c r="JC136" s="228"/>
      <c r="JD136" s="228"/>
      <c r="JE136" s="228"/>
      <c r="JF136" s="228"/>
      <c r="JG136" s="228"/>
      <c r="JH136" s="228"/>
      <c r="JI136" s="228"/>
      <c r="JJ136" s="228"/>
      <c r="JK136" s="228"/>
      <c r="JL136" s="228"/>
      <c r="JM136" s="228"/>
      <c r="JN136" s="228"/>
      <c r="JO136" s="228"/>
      <c r="JP136" s="228"/>
      <c r="JQ136" s="228"/>
      <c r="JR136" s="228"/>
      <c r="JS136" s="228"/>
      <c r="JT136" s="228"/>
      <c r="JU136" s="228"/>
      <c r="JV136" s="228"/>
      <c r="JW136" s="228"/>
      <c r="JX136" s="228"/>
      <c r="JY136" s="228"/>
      <c r="JZ136" s="228"/>
      <c r="KA136" s="228"/>
      <c r="KB136" s="228"/>
      <c r="KC136" s="228"/>
      <c r="KD136" s="228"/>
      <c r="KE136" s="228"/>
      <c r="KF136" s="228"/>
      <c r="KG136" s="228"/>
      <c r="KH136" s="228"/>
      <c r="KI136" s="228"/>
      <c r="KJ136" s="228"/>
      <c r="KK136" s="228"/>
      <c r="KL136" s="228"/>
      <c r="KM136" s="228"/>
      <c r="KN136" s="228"/>
      <c r="KO136" s="228"/>
      <c r="KP136" s="228"/>
      <c r="KQ136" s="228"/>
      <c r="KR136" s="228"/>
      <c r="KS136" s="228"/>
      <c r="KT136" s="228"/>
      <c r="KU136" s="228"/>
      <c r="KV136" s="228"/>
      <c r="KW136" s="228"/>
      <c r="KX136" s="228"/>
      <c r="KY136" s="228"/>
      <c r="KZ136" s="228"/>
      <c r="LA136" s="228"/>
      <c r="LB136" s="228"/>
      <c r="LC136" s="228"/>
      <c r="LD136" s="228"/>
      <c r="LE136" s="228"/>
      <c r="LF136" s="228"/>
      <c r="LG136" s="228"/>
      <c r="LH136" s="228"/>
      <c r="LI136" s="228"/>
      <c r="LJ136" s="228"/>
      <c r="LK136" s="228"/>
      <c r="LL136" s="228"/>
      <c r="LM136" s="228"/>
      <c r="LN136" s="228"/>
      <c r="LO136" s="228"/>
      <c r="LP136" s="228"/>
      <c r="LQ136" s="228"/>
      <c r="LR136" s="228"/>
      <c r="LS136" s="228"/>
      <c r="LT136" s="228"/>
      <c r="LU136" s="228"/>
      <c r="LV136" s="228"/>
      <c r="LW136" s="228"/>
      <c r="LX136" s="228"/>
      <c r="LY136" s="228"/>
      <c r="LZ136" s="228"/>
      <c r="MA136" s="228"/>
      <c r="MB136" s="228"/>
      <c r="MC136" s="228"/>
      <c r="MD136" s="228"/>
      <c r="ME136" s="228"/>
      <c r="MF136" s="228"/>
      <c r="MG136" s="228"/>
      <c r="MH136" s="228"/>
      <c r="MI136" s="228"/>
      <c r="MJ136" s="228"/>
      <c r="MK136" s="228"/>
      <c r="ML136" s="228"/>
      <c r="MM136" s="228"/>
      <c r="MN136" s="228"/>
      <c r="MO136" s="228"/>
      <c r="MP136" s="228"/>
      <c r="MQ136" s="228"/>
      <c r="MR136" s="228"/>
      <c r="MS136" s="228"/>
      <c r="MT136" s="228"/>
      <c r="MU136" s="228"/>
      <c r="MV136" s="228"/>
      <c r="MW136" s="228"/>
      <c r="MX136" s="228"/>
      <c r="MY136" s="228"/>
      <c r="MZ136" s="228"/>
      <c r="NA136" s="228"/>
      <c r="NB136" s="228"/>
      <c r="NC136" s="228"/>
      <c r="ND136" s="228"/>
      <c r="NE136" s="228"/>
      <c r="NF136" s="228"/>
      <c r="NG136" s="228"/>
      <c r="NH136" s="228"/>
      <c r="NI136" s="228"/>
      <c r="NJ136" s="228"/>
      <c r="NK136" s="228"/>
      <c r="NL136" s="228"/>
      <c r="NM136" s="228"/>
      <c r="NN136" s="228"/>
      <c r="NO136" s="228"/>
      <c r="NP136" s="228"/>
      <c r="NQ136" s="228"/>
      <c r="NR136" s="228"/>
      <c r="NS136" s="228"/>
      <c r="NT136" s="228"/>
      <c r="NU136" s="228"/>
      <c r="NV136" s="228"/>
      <c r="NW136" s="228"/>
      <c r="NX136" s="228"/>
      <c r="NY136" s="228"/>
      <c r="NZ136" s="228"/>
      <c r="OA136" s="228"/>
      <c r="OB136" s="228"/>
      <c r="OC136" s="228"/>
      <c r="OD136" s="228"/>
      <c r="OE136" s="228"/>
      <c r="OF136" s="228"/>
      <c r="OG136" s="228"/>
      <c r="OH136" s="228"/>
      <c r="OI136" s="228"/>
      <c r="OJ136" s="228"/>
      <c r="OK136" s="228"/>
      <c r="OL136" s="228"/>
      <c r="OM136" s="228"/>
      <c r="ON136" s="228"/>
      <c r="OO136" s="228"/>
      <c r="OP136" s="228"/>
      <c r="OQ136" s="228"/>
      <c r="OR136" s="228"/>
      <c r="OS136" s="228"/>
      <c r="OT136" s="228"/>
      <c r="OU136" s="228"/>
      <c r="OV136" s="228"/>
      <c r="OW136" s="228"/>
      <c r="OX136" s="228"/>
      <c r="OY136" s="228"/>
      <c r="OZ136" s="228"/>
      <c r="PA136" s="228"/>
      <c r="PB136" s="228"/>
      <c r="PC136" s="228"/>
      <c r="PD136" s="228"/>
      <c r="PE136" s="228"/>
      <c r="PF136" s="228"/>
      <c r="PG136" s="228"/>
      <c r="PH136" s="228"/>
      <c r="PI136" s="228"/>
      <c r="PJ136" s="228"/>
      <c r="PK136" s="228"/>
      <c r="PL136" s="228"/>
      <c r="PM136" s="228"/>
      <c r="PN136" s="228"/>
      <c r="PO136" s="228"/>
      <c r="PP136" s="228"/>
      <c r="PQ136" s="228"/>
      <c r="PR136" s="228"/>
      <c r="PS136" s="228"/>
      <c r="PT136" s="228"/>
      <c r="PU136" s="228"/>
      <c r="PV136" s="228"/>
      <c r="PW136" s="228"/>
      <c r="PX136" s="228"/>
      <c r="PY136" s="228"/>
      <c r="PZ136" s="228"/>
      <c r="QA136" s="228"/>
      <c r="QB136" s="228"/>
      <c r="QC136" s="228"/>
      <c r="QD136" s="228"/>
      <c r="QE136" s="228"/>
      <c r="QF136" s="228"/>
      <c r="QG136" s="228"/>
      <c r="QH136" s="228"/>
      <c r="QI136" s="228"/>
      <c r="QJ136" s="228"/>
      <c r="QK136" s="228"/>
      <c r="QL136" s="228"/>
      <c r="QM136" s="228"/>
      <c r="QN136" s="228"/>
      <c r="QO136" s="228"/>
      <c r="QP136" s="228"/>
      <c r="QQ136" s="228"/>
      <c r="QR136" s="228"/>
      <c r="QS136" s="228"/>
      <c r="QT136" s="228"/>
      <c r="QU136" s="228"/>
      <c r="QV136" s="228"/>
      <c r="QW136" s="228"/>
      <c r="QX136" s="228"/>
      <c r="QY136" s="228"/>
      <c r="QZ136" s="228"/>
      <c r="RA136" s="228"/>
      <c r="RB136" s="228"/>
      <c r="RC136" s="228"/>
      <c r="RD136" s="228"/>
      <c r="RE136" s="228"/>
      <c r="RF136" s="228"/>
      <c r="RG136" s="228"/>
      <c r="RH136" s="228"/>
      <c r="RI136" s="228"/>
      <c r="RJ136" s="228"/>
      <c r="RK136" s="228"/>
      <c r="RL136" s="228"/>
      <c r="RM136" s="228"/>
      <c r="RN136" s="228"/>
      <c r="RO136" s="228"/>
      <c r="RP136" s="228"/>
      <c r="RQ136" s="228"/>
      <c r="RR136" s="228"/>
      <c r="RS136" s="228"/>
      <c r="RT136" s="228"/>
      <c r="RU136" s="228"/>
      <c r="RV136" s="228"/>
      <c r="RW136" s="228"/>
      <c r="RX136" s="228"/>
      <c r="RY136" s="228"/>
      <c r="RZ136" s="228"/>
      <c r="SA136" s="228"/>
      <c r="SB136" s="228"/>
      <c r="SC136" s="228"/>
      <c r="SD136" s="228"/>
      <c r="SE136" s="228"/>
      <c r="SF136" s="228"/>
      <c r="SG136" s="228"/>
      <c r="SH136" s="228"/>
      <c r="SI136" s="228"/>
      <c r="SJ136" s="228"/>
      <c r="SK136" s="228"/>
      <c r="SL136" s="228"/>
      <c r="SM136" s="228"/>
      <c r="SN136" s="228"/>
      <c r="SO136" s="228"/>
      <c r="SP136" s="228"/>
      <c r="SQ136" s="228"/>
      <c r="SR136" s="228"/>
      <c r="SS136" s="228"/>
      <c r="ST136" s="228"/>
      <c r="SU136" s="228"/>
      <c r="SV136" s="228"/>
      <c r="SW136" s="228"/>
      <c r="SX136" s="228"/>
      <c r="SY136" s="228"/>
      <c r="SZ136" s="228"/>
      <c r="TA136" s="228"/>
      <c r="TB136" s="228"/>
      <c r="TC136" s="228"/>
      <c r="TD136" s="228"/>
      <c r="TE136" s="228"/>
      <c r="TF136" s="228"/>
      <c r="TG136" s="228"/>
      <c r="TH136" s="228"/>
      <c r="TI136" s="228"/>
      <c r="TJ136" s="228"/>
      <c r="TK136" s="228"/>
      <c r="TL136" s="228"/>
      <c r="TM136" s="228"/>
      <c r="TN136" s="228"/>
      <c r="TO136" s="228"/>
      <c r="TP136" s="228"/>
      <c r="TQ136" s="228"/>
      <c r="TR136" s="228"/>
      <c r="TS136" s="228"/>
      <c r="TT136" s="228"/>
      <c r="TU136" s="228"/>
    </row>
    <row r="137" spans="1:541" s="268" customFormat="1" outlineLevel="1" x14ac:dyDescent="0.25">
      <c r="A137" s="232">
        <v>2</v>
      </c>
      <c r="B137" s="193" t="s">
        <v>1075</v>
      </c>
      <c r="C137" s="5" t="s">
        <v>668</v>
      </c>
      <c r="D137" s="5" t="s">
        <v>795</v>
      </c>
      <c r="E137" s="5" t="s">
        <v>100</v>
      </c>
      <c r="F137" s="213" t="s">
        <v>435</v>
      </c>
      <c r="G137" s="213" t="s">
        <v>1067</v>
      </c>
      <c r="H137" s="213" t="s">
        <v>1167</v>
      </c>
      <c r="I137" s="5"/>
      <c r="J137" s="5" t="s">
        <v>810</v>
      </c>
      <c r="K137" s="5" t="s">
        <v>487</v>
      </c>
      <c r="L137" s="5" t="s">
        <v>487</v>
      </c>
      <c r="M137" s="213" t="s">
        <v>487</v>
      </c>
      <c r="N137" s="213" t="s">
        <v>1161</v>
      </c>
      <c r="O137" s="213" t="s">
        <v>1158</v>
      </c>
      <c r="P137" s="213" t="s">
        <v>1162</v>
      </c>
      <c r="Q137" s="234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A137" s="228"/>
      <c r="BB137" s="228"/>
      <c r="BC137" s="228"/>
      <c r="BD137" s="228"/>
      <c r="BE137" s="228"/>
      <c r="BF137" s="228"/>
      <c r="BG137" s="228"/>
      <c r="BH137" s="228"/>
      <c r="BI137" s="228"/>
      <c r="BJ137" s="228"/>
      <c r="BK137" s="228"/>
      <c r="BL137" s="228"/>
      <c r="BM137" s="228"/>
      <c r="BN137" s="228"/>
      <c r="BO137" s="228"/>
      <c r="BP137" s="228"/>
      <c r="BQ137" s="228"/>
      <c r="BR137" s="228"/>
      <c r="BS137" s="228"/>
      <c r="BT137" s="228"/>
      <c r="BU137" s="228"/>
      <c r="BV137" s="228"/>
      <c r="BW137" s="228"/>
      <c r="BX137" s="228"/>
      <c r="BY137" s="228"/>
      <c r="BZ137" s="228"/>
      <c r="CA137" s="228"/>
      <c r="CB137" s="228"/>
      <c r="CC137" s="228"/>
      <c r="CD137" s="228"/>
      <c r="CE137" s="228"/>
      <c r="CF137" s="228"/>
      <c r="CG137" s="228"/>
      <c r="CH137" s="228"/>
      <c r="CI137" s="228"/>
      <c r="CJ137" s="228"/>
      <c r="CK137" s="228"/>
      <c r="CL137" s="228"/>
      <c r="CM137" s="228"/>
      <c r="CN137" s="228"/>
      <c r="CO137" s="228"/>
      <c r="CP137" s="228"/>
      <c r="CQ137" s="228"/>
      <c r="CR137" s="228"/>
      <c r="CS137" s="228"/>
      <c r="CT137" s="228"/>
      <c r="CU137" s="228"/>
      <c r="CV137" s="228"/>
      <c r="CW137" s="228"/>
      <c r="CX137" s="228"/>
      <c r="CY137" s="228"/>
      <c r="CZ137" s="228"/>
      <c r="DA137" s="228"/>
      <c r="DB137" s="228"/>
      <c r="DC137" s="228"/>
      <c r="DD137" s="228"/>
      <c r="DE137" s="228"/>
      <c r="DF137" s="228"/>
      <c r="DG137" s="228"/>
      <c r="DH137" s="228"/>
      <c r="DI137" s="228"/>
      <c r="DJ137" s="228"/>
      <c r="DK137" s="228"/>
      <c r="DL137" s="228"/>
      <c r="DM137" s="228"/>
      <c r="DN137" s="228"/>
      <c r="DO137" s="228"/>
      <c r="DP137" s="228"/>
      <c r="DQ137" s="228"/>
      <c r="DR137" s="228"/>
      <c r="DS137" s="228"/>
      <c r="DT137" s="228"/>
      <c r="DU137" s="228"/>
      <c r="DV137" s="228"/>
      <c r="DW137" s="228"/>
      <c r="DX137" s="228"/>
      <c r="DY137" s="228"/>
      <c r="DZ137" s="228"/>
      <c r="EA137" s="228"/>
      <c r="EB137" s="228"/>
      <c r="EC137" s="228"/>
      <c r="ED137" s="228"/>
      <c r="EE137" s="228"/>
      <c r="EF137" s="228"/>
      <c r="EG137" s="228"/>
      <c r="EH137" s="228"/>
      <c r="EI137" s="228"/>
      <c r="EJ137" s="228"/>
      <c r="EK137" s="228"/>
      <c r="EL137" s="228"/>
      <c r="EM137" s="228"/>
      <c r="EN137" s="228"/>
      <c r="EO137" s="228"/>
      <c r="EP137" s="228"/>
      <c r="EQ137" s="228"/>
      <c r="ER137" s="228"/>
      <c r="ES137" s="228"/>
      <c r="ET137" s="228"/>
      <c r="EU137" s="228"/>
      <c r="EV137" s="228"/>
      <c r="EW137" s="228"/>
      <c r="EX137" s="228"/>
      <c r="EY137" s="228"/>
      <c r="EZ137" s="228"/>
      <c r="FA137" s="228"/>
      <c r="FB137" s="228"/>
      <c r="FC137" s="228"/>
      <c r="FD137" s="228"/>
      <c r="FE137" s="228"/>
      <c r="FF137" s="228"/>
      <c r="FG137" s="228"/>
      <c r="FH137" s="228"/>
      <c r="FI137" s="228"/>
      <c r="FJ137" s="228"/>
      <c r="FK137" s="228"/>
      <c r="FL137" s="228"/>
      <c r="FM137" s="228"/>
      <c r="FN137" s="228"/>
      <c r="FO137" s="228"/>
      <c r="FP137" s="228"/>
      <c r="FQ137" s="228"/>
      <c r="FR137" s="228"/>
      <c r="FS137" s="228"/>
      <c r="FT137" s="228"/>
      <c r="FU137" s="228"/>
      <c r="FV137" s="228"/>
      <c r="FW137" s="228"/>
      <c r="FX137" s="228"/>
      <c r="FY137" s="228"/>
      <c r="FZ137" s="228"/>
      <c r="GA137" s="228"/>
      <c r="GB137" s="228"/>
      <c r="GC137" s="228"/>
      <c r="GD137" s="228"/>
      <c r="GE137" s="228"/>
      <c r="GF137" s="228"/>
      <c r="GG137" s="228"/>
      <c r="GH137" s="228"/>
      <c r="GI137" s="228"/>
      <c r="GJ137" s="228"/>
      <c r="GK137" s="228"/>
      <c r="GL137" s="228"/>
      <c r="GM137" s="228"/>
      <c r="GN137" s="228"/>
      <c r="GO137" s="228"/>
      <c r="GP137" s="228"/>
      <c r="GQ137" s="228"/>
      <c r="GR137" s="228"/>
      <c r="GS137" s="228"/>
      <c r="GT137" s="228"/>
      <c r="GU137" s="228"/>
      <c r="GV137" s="228"/>
      <c r="GW137" s="228"/>
      <c r="GX137" s="228"/>
      <c r="GY137" s="228"/>
      <c r="GZ137" s="228"/>
      <c r="HA137" s="228"/>
      <c r="HB137" s="228"/>
      <c r="HC137" s="228"/>
      <c r="HD137" s="228"/>
      <c r="HE137" s="228"/>
      <c r="HF137" s="228"/>
      <c r="HG137" s="228"/>
      <c r="HH137" s="228"/>
      <c r="HI137" s="228"/>
      <c r="HJ137" s="228"/>
      <c r="HK137" s="228"/>
      <c r="HL137" s="228"/>
      <c r="HM137" s="228"/>
      <c r="HN137" s="228"/>
      <c r="HO137" s="228"/>
      <c r="HP137" s="228"/>
      <c r="HQ137" s="228"/>
      <c r="HR137" s="228"/>
      <c r="HS137" s="228"/>
      <c r="HT137" s="228"/>
      <c r="HU137" s="228"/>
      <c r="HV137" s="228"/>
      <c r="HW137" s="228"/>
      <c r="HX137" s="228"/>
      <c r="HY137" s="228"/>
      <c r="HZ137" s="228"/>
      <c r="IA137" s="228"/>
      <c r="IB137" s="228"/>
      <c r="IC137" s="228"/>
      <c r="ID137" s="228"/>
      <c r="IE137" s="228"/>
      <c r="IF137" s="228"/>
      <c r="IG137" s="228"/>
      <c r="IH137" s="228"/>
      <c r="II137" s="228"/>
      <c r="IJ137" s="228"/>
      <c r="IK137" s="228"/>
      <c r="IL137" s="228"/>
      <c r="IM137" s="228"/>
      <c r="IN137" s="228"/>
      <c r="IO137" s="228"/>
      <c r="IP137" s="228"/>
      <c r="IQ137" s="228"/>
      <c r="IR137" s="228"/>
      <c r="IS137" s="228"/>
      <c r="IT137" s="228"/>
      <c r="IU137" s="228"/>
      <c r="IV137" s="228"/>
      <c r="IW137" s="228"/>
      <c r="IX137" s="228"/>
      <c r="IY137" s="228"/>
      <c r="IZ137" s="228"/>
      <c r="JA137" s="228"/>
      <c r="JB137" s="228"/>
      <c r="JC137" s="228"/>
      <c r="JD137" s="228"/>
      <c r="JE137" s="228"/>
      <c r="JF137" s="228"/>
      <c r="JG137" s="228"/>
      <c r="JH137" s="228"/>
      <c r="JI137" s="228"/>
      <c r="JJ137" s="228"/>
      <c r="JK137" s="228"/>
      <c r="JL137" s="228"/>
      <c r="JM137" s="228"/>
      <c r="JN137" s="228"/>
      <c r="JO137" s="228"/>
      <c r="JP137" s="228"/>
      <c r="JQ137" s="228"/>
      <c r="JR137" s="228"/>
      <c r="JS137" s="228"/>
      <c r="JT137" s="228"/>
      <c r="JU137" s="228"/>
      <c r="JV137" s="228"/>
      <c r="JW137" s="228"/>
      <c r="JX137" s="228"/>
      <c r="JY137" s="228"/>
      <c r="JZ137" s="228"/>
      <c r="KA137" s="228"/>
      <c r="KB137" s="228"/>
      <c r="KC137" s="228"/>
      <c r="KD137" s="228"/>
      <c r="KE137" s="228"/>
      <c r="KF137" s="228"/>
      <c r="KG137" s="228"/>
      <c r="KH137" s="228"/>
      <c r="KI137" s="228"/>
      <c r="KJ137" s="228"/>
      <c r="KK137" s="228"/>
      <c r="KL137" s="228"/>
      <c r="KM137" s="228"/>
      <c r="KN137" s="228"/>
      <c r="KO137" s="228"/>
      <c r="KP137" s="228"/>
      <c r="KQ137" s="228"/>
      <c r="KR137" s="228"/>
      <c r="KS137" s="228"/>
      <c r="KT137" s="228"/>
      <c r="KU137" s="228"/>
      <c r="KV137" s="228"/>
      <c r="KW137" s="228"/>
      <c r="KX137" s="228"/>
      <c r="KY137" s="228"/>
      <c r="KZ137" s="228"/>
      <c r="LA137" s="228"/>
      <c r="LB137" s="228"/>
      <c r="LC137" s="228"/>
      <c r="LD137" s="228"/>
      <c r="LE137" s="228"/>
      <c r="LF137" s="228"/>
      <c r="LG137" s="228"/>
      <c r="LH137" s="228"/>
      <c r="LI137" s="228"/>
      <c r="LJ137" s="228"/>
      <c r="LK137" s="228"/>
      <c r="LL137" s="228"/>
      <c r="LM137" s="228"/>
      <c r="LN137" s="228"/>
      <c r="LO137" s="228"/>
      <c r="LP137" s="228"/>
      <c r="LQ137" s="228"/>
      <c r="LR137" s="228"/>
      <c r="LS137" s="228"/>
      <c r="LT137" s="228"/>
      <c r="LU137" s="228"/>
      <c r="LV137" s="228"/>
      <c r="LW137" s="228"/>
      <c r="LX137" s="228"/>
      <c r="LY137" s="228"/>
      <c r="LZ137" s="228"/>
      <c r="MA137" s="228"/>
      <c r="MB137" s="228"/>
      <c r="MC137" s="228"/>
      <c r="MD137" s="228"/>
      <c r="ME137" s="228"/>
      <c r="MF137" s="228"/>
      <c r="MG137" s="228"/>
      <c r="MH137" s="228"/>
      <c r="MI137" s="228"/>
      <c r="MJ137" s="228"/>
      <c r="MK137" s="228"/>
      <c r="ML137" s="228"/>
      <c r="MM137" s="228"/>
      <c r="MN137" s="228"/>
      <c r="MO137" s="228"/>
      <c r="MP137" s="228"/>
      <c r="MQ137" s="228"/>
      <c r="MR137" s="228"/>
      <c r="MS137" s="228"/>
      <c r="MT137" s="228"/>
      <c r="MU137" s="228"/>
      <c r="MV137" s="228"/>
      <c r="MW137" s="228"/>
      <c r="MX137" s="228"/>
      <c r="MY137" s="228"/>
      <c r="MZ137" s="228"/>
      <c r="NA137" s="228"/>
      <c r="NB137" s="228"/>
      <c r="NC137" s="228"/>
      <c r="ND137" s="228"/>
      <c r="NE137" s="228"/>
      <c r="NF137" s="228"/>
      <c r="NG137" s="228"/>
      <c r="NH137" s="228"/>
      <c r="NI137" s="228"/>
      <c r="NJ137" s="228"/>
      <c r="NK137" s="228"/>
      <c r="NL137" s="228"/>
      <c r="NM137" s="228"/>
      <c r="NN137" s="228"/>
      <c r="NO137" s="228"/>
      <c r="NP137" s="228"/>
      <c r="NQ137" s="228"/>
      <c r="NR137" s="228"/>
      <c r="NS137" s="228"/>
      <c r="NT137" s="228"/>
      <c r="NU137" s="228"/>
      <c r="NV137" s="228"/>
      <c r="NW137" s="228"/>
      <c r="NX137" s="228"/>
      <c r="NY137" s="228"/>
      <c r="NZ137" s="228"/>
      <c r="OA137" s="228"/>
      <c r="OB137" s="228"/>
      <c r="OC137" s="228"/>
      <c r="OD137" s="228"/>
      <c r="OE137" s="228"/>
      <c r="OF137" s="228"/>
      <c r="OG137" s="228"/>
      <c r="OH137" s="228"/>
      <c r="OI137" s="228"/>
      <c r="OJ137" s="228"/>
      <c r="OK137" s="228"/>
      <c r="OL137" s="228"/>
      <c r="OM137" s="228"/>
      <c r="ON137" s="228"/>
      <c r="OO137" s="228"/>
      <c r="OP137" s="228"/>
      <c r="OQ137" s="228"/>
      <c r="OR137" s="228"/>
      <c r="OS137" s="228"/>
      <c r="OT137" s="228"/>
      <c r="OU137" s="228"/>
      <c r="OV137" s="228"/>
      <c r="OW137" s="228"/>
      <c r="OX137" s="228"/>
      <c r="OY137" s="228"/>
      <c r="OZ137" s="228"/>
      <c r="PA137" s="228"/>
      <c r="PB137" s="228"/>
      <c r="PC137" s="228"/>
      <c r="PD137" s="228"/>
      <c r="PE137" s="228"/>
      <c r="PF137" s="228"/>
      <c r="PG137" s="228"/>
      <c r="PH137" s="228"/>
      <c r="PI137" s="228"/>
      <c r="PJ137" s="228"/>
      <c r="PK137" s="228"/>
      <c r="PL137" s="228"/>
      <c r="PM137" s="228"/>
      <c r="PN137" s="228"/>
      <c r="PO137" s="228"/>
      <c r="PP137" s="228"/>
      <c r="PQ137" s="228"/>
      <c r="PR137" s="228"/>
      <c r="PS137" s="228"/>
      <c r="PT137" s="228"/>
      <c r="PU137" s="228"/>
      <c r="PV137" s="228"/>
      <c r="PW137" s="228"/>
      <c r="PX137" s="228"/>
      <c r="PY137" s="228"/>
      <c r="PZ137" s="228"/>
      <c r="QA137" s="228"/>
      <c r="QB137" s="228"/>
      <c r="QC137" s="228"/>
      <c r="QD137" s="228"/>
      <c r="QE137" s="228"/>
      <c r="QF137" s="228"/>
      <c r="QG137" s="228"/>
      <c r="QH137" s="228"/>
      <c r="QI137" s="228"/>
      <c r="QJ137" s="228"/>
      <c r="QK137" s="228"/>
      <c r="QL137" s="228"/>
      <c r="QM137" s="228"/>
      <c r="QN137" s="228"/>
      <c r="QO137" s="228"/>
      <c r="QP137" s="228"/>
      <c r="QQ137" s="228"/>
      <c r="QR137" s="228"/>
      <c r="QS137" s="228"/>
      <c r="QT137" s="228"/>
      <c r="QU137" s="228"/>
      <c r="QV137" s="228"/>
      <c r="QW137" s="228"/>
      <c r="QX137" s="228"/>
      <c r="QY137" s="228"/>
      <c r="QZ137" s="228"/>
      <c r="RA137" s="228"/>
      <c r="RB137" s="228"/>
      <c r="RC137" s="228"/>
      <c r="RD137" s="228"/>
      <c r="RE137" s="228"/>
      <c r="RF137" s="228"/>
      <c r="RG137" s="228"/>
      <c r="RH137" s="228"/>
      <c r="RI137" s="228"/>
      <c r="RJ137" s="228"/>
      <c r="RK137" s="228"/>
      <c r="RL137" s="228"/>
      <c r="RM137" s="228"/>
      <c r="RN137" s="228"/>
      <c r="RO137" s="228"/>
      <c r="RP137" s="228"/>
      <c r="RQ137" s="228"/>
      <c r="RR137" s="228"/>
      <c r="RS137" s="228"/>
      <c r="RT137" s="228"/>
      <c r="RU137" s="228"/>
      <c r="RV137" s="228"/>
      <c r="RW137" s="228"/>
      <c r="RX137" s="228"/>
      <c r="RY137" s="228"/>
      <c r="RZ137" s="228"/>
      <c r="SA137" s="228"/>
      <c r="SB137" s="228"/>
      <c r="SC137" s="228"/>
      <c r="SD137" s="228"/>
      <c r="SE137" s="228"/>
      <c r="SF137" s="228"/>
      <c r="SG137" s="228"/>
      <c r="SH137" s="228"/>
      <c r="SI137" s="228"/>
      <c r="SJ137" s="228"/>
      <c r="SK137" s="228"/>
      <c r="SL137" s="228"/>
      <c r="SM137" s="228"/>
      <c r="SN137" s="228"/>
      <c r="SO137" s="228"/>
      <c r="SP137" s="228"/>
      <c r="SQ137" s="228"/>
      <c r="SR137" s="228"/>
      <c r="SS137" s="228"/>
      <c r="ST137" s="228"/>
      <c r="SU137" s="228"/>
      <c r="SV137" s="228"/>
      <c r="SW137" s="228"/>
      <c r="SX137" s="228"/>
      <c r="SY137" s="228"/>
      <c r="SZ137" s="228"/>
      <c r="TA137" s="228"/>
      <c r="TB137" s="228"/>
      <c r="TC137" s="228"/>
      <c r="TD137" s="228"/>
      <c r="TE137" s="228"/>
      <c r="TF137" s="228"/>
      <c r="TG137" s="228"/>
      <c r="TH137" s="228"/>
      <c r="TI137" s="228"/>
      <c r="TJ137" s="228"/>
      <c r="TK137" s="228"/>
      <c r="TL137" s="228"/>
      <c r="TM137" s="228"/>
      <c r="TN137" s="228"/>
      <c r="TO137" s="228"/>
      <c r="TP137" s="228"/>
      <c r="TQ137" s="228"/>
      <c r="TR137" s="228"/>
      <c r="TS137" s="228"/>
      <c r="TT137" s="228"/>
      <c r="TU137" s="228"/>
    </row>
    <row r="138" spans="1:541" s="268" customFormat="1" outlineLevel="1" x14ac:dyDescent="0.25">
      <c r="A138" s="232">
        <v>3</v>
      </c>
      <c r="B138" s="193" t="s">
        <v>1075</v>
      </c>
      <c r="C138" s="5" t="s">
        <v>668</v>
      </c>
      <c r="D138" s="5" t="s">
        <v>1181</v>
      </c>
      <c r="E138" s="5" t="s">
        <v>100</v>
      </c>
      <c r="F138" s="213" t="s">
        <v>435</v>
      </c>
      <c r="G138" s="213" t="s">
        <v>792</v>
      </c>
      <c r="H138" s="213" t="s">
        <v>1167</v>
      </c>
      <c r="I138" s="5"/>
      <c r="J138" s="5" t="s">
        <v>800</v>
      </c>
      <c r="K138" s="5" t="s">
        <v>487</v>
      </c>
      <c r="L138" s="5" t="s">
        <v>487</v>
      </c>
      <c r="M138" s="213" t="s">
        <v>487</v>
      </c>
      <c r="N138" s="213" t="s">
        <v>1161</v>
      </c>
      <c r="O138" s="213" t="s">
        <v>1158</v>
      </c>
      <c r="P138" s="213" t="s">
        <v>1162</v>
      </c>
      <c r="Q138" s="234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 s="228"/>
      <c r="AX138" s="228"/>
      <c r="AY138" s="228"/>
      <c r="AZ138" s="228"/>
      <c r="BA138" s="228"/>
      <c r="BB138" s="228"/>
      <c r="BC138" s="228"/>
      <c r="BD138" s="228"/>
      <c r="BE138" s="228"/>
      <c r="BF138" s="228"/>
      <c r="BG138" s="228"/>
      <c r="BH138" s="228"/>
      <c r="BI138" s="228"/>
      <c r="BJ138" s="228"/>
      <c r="BK138" s="228"/>
      <c r="BL138" s="228"/>
      <c r="BM138" s="228"/>
      <c r="BN138" s="228"/>
      <c r="BO138" s="228"/>
      <c r="BP138" s="228"/>
      <c r="BQ138" s="228"/>
      <c r="BR138" s="228"/>
      <c r="BS138" s="228"/>
      <c r="BT138" s="228"/>
      <c r="BU138" s="228"/>
      <c r="BV138" s="228"/>
      <c r="BW138" s="228"/>
      <c r="BX138" s="228"/>
      <c r="BY138" s="228"/>
      <c r="BZ138" s="228"/>
      <c r="CA138" s="228"/>
      <c r="CB138" s="228"/>
      <c r="CC138" s="228"/>
      <c r="CD138" s="228"/>
      <c r="CE138" s="228"/>
      <c r="CF138" s="228"/>
      <c r="CG138" s="228"/>
      <c r="CH138" s="228"/>
      <c r="CI138" s="228"/>
      <c r="CJ138" s="228"/>
      <c r="CK138" s="228"/>
      <c r="CL138" s="228"/>
      <c r="CM138" s="228"/>
      <c r="CN138" s="228"/>
      <c r="CO138" s="228"/>
      <c r="CP138" s="228"/>
      <c r="CQ138" s="228"/>
      <c r="CR138" s="228"/>
      <c r="CS138" s="228"/>
      <c r="CT138" s="228"/>
      <c r="CU138" s="228"/>
      <c r="CV138" s="228"/>
      <c r="CW138" s="228"/>
      <c r="CX138" s="228"/>
      <c r="CY138" s="228"/>
      <c r="CZ138" s="228"/>
      <c r="DA138" s="228"/>
      <c r="DB138" s="228"/>
      <c r="DC138" s="228"/>
      <c r="DD138" s="228"/>
      <c r="DE138" s="228"/>
      <c r="DF138" s="228"/>
      <c r="DG138" s="228"/>
      <c r="DH138" s="228"/>
      <c r="DI138" s="228"/>
      <c r="DJ138" s="228"/>
      <c r="DK138" s="228"/>
      <c r="DL138" s="228"/>
      <c r="DM138" s="228"/>
      <c r="DN138" s="228"/>
      <c r="DO138" s="228"/>
      <c r="DP138" s="228"/>
      <c r="DQ138" s="228"/>
      <c r="DR138" s="228"/>
      <c r="DS138" s="228"/>
      <c r="DT138" s="228"/>
      <c r="DU138" s="228"/>
      <c r="DV138" s="228"/>
      <c r="DW138" s="228"/>
      <c r="DX138" s="228"/>
      <c r="DY138" s="228"/>
      <c r="DZ138" s="228"/>
      <c r="EA138" s="228"/>
      <c r="EB138" s="228"/>
      <c r="EC138" s="228"/>
      <c r="ED138" s="228"/>
      <c r="EE138" s="228"/>
      <c r="EF138" s="228"/>
      <c r="EG138" s="228"/>
      <c r="EH138" s="228"/>
      <c r="EI138" s="228"/>
      <c r="EJ138" s="228"/>
      <c r="EK138" s="228"/>
      <c r="EL138" s="228"/>
      <c r="EM138" s="228"/>
      <c r="EN138" s="228"/>
      <c r="EO138" s="228"/>
      <c r="EP138" s="228"/>
      <c r="EQ138" s="228"/>
      <c r="ER138" s="228"/>
      <c r="ES138" s="228"/>
      <c r="ET138" s="228"/>
      <c r="EU138" s="228"/>
      <c r="EV138" s="228"/>
      <c r="EW138" s="228"/>
      <c r="EX138" s="228"/>
      <c r="EY138" s="228"/>
      <c r="EZ138" s="228"/>
      <c r="FA138" s="228"/>
      <c r="FB138" s="228"/>
      <c r="FC138" s="228"/>
      <c r="FD138" s="228"/>
      <c r="FE138" s="228"/>
      <c r="FF138" s="228"/>
      <c r="FG138" s="228"/>
      <c r="FH138" s="228"/>
      <c r="FI138" s="228"/>
      <c r="FJ138" s="228"/>
      <c r="FK138" s="228"/>
      <c r="FL138" s="228"/>
      <c r="FM138" s="228"/>
      <c r="FN138" s="228"/>
      <c r="FO138" s="228"/>
      <c r="FP138" s="228"/>
      <c r="FQ138" s="228"/>
      <c r="FR138" s="228"/>
      <c r="FS138" s="228"/>
      <c r="FT138" s="228"/>
      <c r="FU138" s="228"/>
      <c r="FV138" s="228"/>
      <c r="FW138" s="228"/>
      <c r="FX138" s="228"/>
      <c r="FY138" s="228"/>
      <c r="FZ138" s="228"/>
      <c r="GA138" s="228"/>
      <c r="GB138" s="228"/>
      <c r="GC138" s="228"/>
      <c r="GD138" s="228"/>
      <c r="GE138" s="228"/>
      <c r="GF138" s="228"/>
      <c r="GG138" s="228"/>
      <c r="GH138" s="228"/>
      <c r="GI138" s="228"/>
      <c r="GJ138" s="228"/>
      <c r="GK138" s="228"/>
      <c r="GL138" s="228"/>
      <c r="GM138" s="228"/>
      <c r="GN138" s="228"/>
      <c r="GO138" s="228"/>
      <c r="GP138" s="228"/>
      <c r="GQ138" s="228"/>
      <c r="GR138" s="228"/>
      <c r="GS138" s="228"/>
      <c r="GT138" s="228"/>
      <c r="GU138" s="228"/>
      <c r="GV138" s="228"/>
      <c r="GW138" s="228"/>
      <c r="GX138" s="228"/>
      <c r="GY138" s="228"/>
      <c r="GZ138" s="228"/>
      <c r="HA138" s="228"/>
      <c r="HB138" s="228"/>
      <c r="HC138" s="228"/>
      <c r="HD138" s="228"/>
      <c r="HE138" s="228"/>
      <c r="HF138" s="228"/>
      <c r="HG138" s="228"/>
      <c r="HH138" s="228"/>
      <c r="HI138" s="228"/>
      <c r="HJ138" s="228"/>
      <c r="HK138" s="228"/>
      <c r="HL138" s="228"/>
      <c r="HM138" s="228"/>
      <c r="HN138" s="228"/>
      <c r="HO138" s="228"/>
      <c r="HP138" s="228"/>
      <c r="HQ138" s="228"/>
      <c r="HR138" s="228"/>
      <c r="HS138" s="228"/>
      <c r="HT138" s="228"/>
      <c r="HU138" s="228"/>
      <c r="HV138" s="228"/>
      <c r="HW138" s="228"/>
      <c r="HX138" s="228"/>
      <c r="HY138" s="228"/>
      <c r="HZ138" s="228"/>
      <c r="IA138" s="228"/>
      <c r="IB138" s="228"/>
      <c r="IC138" s="228"/>
      <c r="ID138" s="228"/>
      <c r="IE138" s="228"/>
      <c r="IF138" s="228"/>
      <c r="IG138" s="228"/>
      <c r="IH138" s="228"/>
      <c r="II138" s="228"/>
      <c r="IJ138" s="228"/>
      <c r="IK138" s="228"/>
      <c r="IL138" s="228"/>
      <c r="IM138" s="228"/>
      <c r="IN138" s="228"/>
      <c r="IO138" s="228"/>
      <c r="IP138" s="228"/>
      <c r="IQ138" s="228"/>
      <c r="IR138" s="228"/>
      <c r="IS138" s="228"/>
      <c r="IT138" s="228"/>
      <c r="IU138" s="228"/>
      <c r="IV138" s="228"/>
      <c r="IW138" s="228"/>
      <c r="IX138" s="228"/>
      <c r="IY138" s="228"/>
      <c r="IZ138" s="228"/>
      <c r="JA138" s="228"/>
      <c r="JB138" s="228"/>
      <c r="JC138" s="228"/>
      <c r="JD138" s="228"/>
      <c r="JE138" s="228"/>
      <c r="JF138" s="228"/>
      <c r="JG138" s="228"/>
      <c r="JH138" s="228"/>
      <c r="JI138" s="228"/>
      <c r="JJ138" s="228"/>
      <c r="JK138" s="228"/>
      <c r="JL138" s="228"/>
      <c r="JM138" s="228"/>
      <c r="JN138" s="228"/>
      <c r="JO138" s="228"/>
      <c r="JP138" s="228"/>
      <c r="JQ138" s="228"/>
      <c r="JR138" s="228"/>
      <c r="JS138" s="228"/>
      <c r="JT138" s="228"/>
      <c r="JU138" s="228"/>
      <c r="JV138" s="228"/>
      <c r="JW138" s="228"/>
      <c r="JX138" s="228"/>
      <c r="JY138" s="228"/>
      <c r="JZ138" s="228"/>
      <c r="KA138" s="228"/>
      <c r="KB138" s="228"/>
      <c r="KC138" s="228"/>
      <c r="KD138" s="228"/>
      <c r="KE138" s="228"/>
      <c r="KF138" s="228"/>
      <c r="KG138" s="228"/>
      <c r="KH138" s="228"/>
      <c r="KI138" s="228"/>
      <c r="KJ138" s="228"/>
      <c r="KK138" s="228"/>
      <c r="KL138" s="228"/>
      <c r="KM138" s="228"/>
      <c r="KN138" s="228"/>
      <c r="KO138" s="228"/>
      <c r="KP138" s="228"/>
      <c r="KQ138" s="228"/>
      <c r="KR138" s="228"/>
      <c r="KS138" s="228"/>
      <c r="KT138" s="228"/>
      <c r="KU138" s="228"/>
      <c r="KV138" s="228"/>
      <c r="KW138" s="228"/>
      <c r="KX138" s="228"/>
      <c r="KY138" s="228"/>
      <c r="KZ138" s="228"/>
      <c r="LA138" s="228"/>
      <c r="LB138" s="228"/>
      <c r="LC138" s="228"/>
      <c r="LD138" s="228"/>
      <c r="LE138" s="228"/>
      <c r="LF138" s="228"/>
      <c r="LG138" s="228"/>
      <c r="LH138" s="228"/>
      <c r="LI138" s="228"/>
      <c r="LJ138" s="228"/>
      <c r="LK138" s="228"/>
      <c r="LL138" s="228"/>
      <c r="LM138" s="228"/>
      <c r="LN138" s="228"/>
      <c r="LO138" s="228"/>
      <c r="LP138" s="228"/>
      <c r="LQ138" s="228"/>
      <c r="LR138" s="228"/>
      <c r="LS138" s="228"/>
      <c r="LT138" s="228"/>
      <c r="LU138" s="228"/>
      <c r="LV138" s="228"/>
      <c r="LW138" s="228"/>
      <c r="LX138" s="228"/>
      <c r="LY138" s="228"/>
      <c r="LZ138" s="228"/>
      <c r="MA138" s="228"/>
      <c r="MB138" s="228"/>
      <c r="MC138" s="228"/>
      <c r="MD138" s="228"/>
      <c r="ME138" s="228"/>
      <c r="MF138" s="228"/>
      <c r="MG138" s="228"/>
      <c r="MH138" s="228"/>
      <c r="MI138" s="228"/>
      <c r="MJ138" s="228"/>
      <c r="MK138" s="228"/>
      <c r="ML138" s="228"/>
      <c r="MM138" s="228"/>
      <c r="MN138" s="228"/>
      <c r="MO138" s="228"/>
      <c r="MP138" s="228"/>
      <c r="MQ138" s="228"/>
      <c r="MR138" s="228"/>
      <c r="MS138" s="228"/>
      <c r="MT138" s="228"/>
      <c r="MU138" s="228"/>
      <c r="MV138" s="228"/>
      <c r="MW138" s="228"/>
      <c r="MX138" s="228"/>
      <c r="MY138" s="228"/>
      <c r="MZ138" s="228"/>
      <c r="NA138" s="228"/>
      <c r="NB138" s="228"/>
      <c r="NC138" s="228"/>
      <c r="ND138" s="228"/>
      <c r="NE138" s="228"/>
      <c r="NF138" s="228"/>
      <c r="NG138" s="228"/>
      <c r="NH138" s="228"/>
      <c r="NI138" s="228"/>
      <c r="NJ138" s="228"/>
      <c r="NK138" s="228"/>
      <c r="NL138" s="228"/>
      <c r="NM138" s="228"/>
      <c r="NN138" s="228"/>
      <c r="NO138" s="228"/>
      <c r="NP138" s="228"/>
      <c r="NQ138" s="228"/>
      <c r="NR138" s="228"/>
      <c r="NS138" s="228"/>
      <c r="NT138" s="228"/>
      <c r="NU138" s="228"/>
      <c r="NV138" s="228"/>
      <c r="NW138" s="228"/>
      <c r="NX138" s="228"/>
      <c r="NY138" s="228"/>
      <c r="NZ138" s="228"/>
      <c r="OA138" s="228"/>
      <c r="OB138" s="228"/>
      <c r="OC138" s="228"/>
      <c r="OD138" s="228"/>
      <c r="OE138" s="228"/>
      <c r="OF138" s="228"/>
      <c r="OG138" s="228"/>
      <c r="OH138" s="228"/>
      <c r="OI138" s="228"/>
      <c r="OJ138" s="228"/>
      <c r="OK138" s="228"/>
      <c r="OL138" s="228"/>
      <c r="OM138" s="228"/>
      <c r="ON138" s="228"/>
      <c r="OO138" s="228"/>
      <c r="OP138" s="228"/>
      <c r="OQ138" s="228"/>
      <c r="OR138" s="228"/>
      <c r="OS138" s="228"/>
      <c r="OT138" s="228"/>
      <c r="OU138" s="228"/>
      <c r="OV138" s="228"/>
      <c r="OW138" s="228"/>
      <c r="OX138" s="228"/>
      <c r="OY138" s="228"/>
      <c r="OZ138" s="228"/>
      <c r="PA138" s="228"/>
      <c r="PB138" s="228"/>
      <c r="PC138" s="228"/>
      <c r="PD138" s="228"/>
      <c r="PE138" s="228"/>
      <c r="PF138" s="228"/>
      <c r="PG138" s="228"/>
      <c r="PH138" s="228"/>
      <c r="PI138" s="228"/>
      <c r="PJ138" s="228"/>
      <c r="PK138" s="228"/>
      <c r="PL138" s="228"/>
      <c r="PM138" s="228"/>
      <c r="PN138" s="228"/>
      <c r="PO138" s="228"/>
      <c r="PP138" s="228"/>
      <c r="PQ138" s="228"/>
      <c r="PR138" s="228"/>
      <c r="PS138" s="228"/>
      <c r="PT138" s="228"/>
      <c r="PU138" s="228"/>
      <c r="PV138" s="228"/>
      <c r="PW138" s="228"/>
      <c r="PX138" s="228"/>
      <c r="PY138" s="228"/>
      <c r="PZ138" s="228"/>
      <c r="QA138" s="228"/>
      <c r="QB138" s="228"/>
      <c r="QC138" s="228"/>
      <c r="QD138" s="228"/>
      <c r="QE138" s="228"/>
      <c r="QF138" s="228"/>
      <c r="QG138" s="228"/>
      <c r="QH138" s="228"/>
      <c r="QI138" s="228"/>
      <c r="QJ138" s="228"/>
      <c r="QK138" s="228"/>
      <c r="QL138" s="228"/>
      <c r="QM138" s="228"/>
      <c r="QN138" s="228"/>
      <c r="QO138" s="228"/>
      <c r="QP138" s="228"/>
      <c r="QQ138" s="228"/>
      <c r="QR138" s="228"/>
      <c r="QS138" s="228"/>
      <c r="QT138" s="228"/>
      <c r="QU138" s="228"/>
      <c r="QV138" s="228"/>
      <c r="QW138" s="228"/>
      <c r="QX138" s="228"/>
      <c r="QY138" s="228"/>
      <c r="QZ138" s="228"/>
      <c r="RA138" s="228"/>
      <c r="RB138" s="228"/>
      <c r="RC138" s="228"/>
      <c r="RD138" s="228"/>
      <c r="RE138" s="228"/>
      <c r="RF138" s="228"/>
      <c r="RG138" s="228"/>
      <c r="RH138" s="228"/>
      <c r="RI138" s="228"/>
      <c r="RJ138" s="228"/>
      <c r="RK138" s="228"/>
      <c r="RL138" s="228"/>
      <c r="RM138" s="228"/>
      <c r="RN138" s="228"/>
      <c r="RO138" s="228"/>
      <c r="RP138" s="228"/>
      <c r="RQ138" s="228"/>
      <c r="RR138" s="228"/>
      <c r="RS138" s="228"/>
      <c r="RT138" s="228"/>
      <c r="RU138" s="228"/>
      <c r="RV138" s="228"/>
      <c r="RW138" s="228"/>
      <c r="RX138" s="228"/>
      <c r="RY138" s="228"/>
      <c r="RZ138" s="228"/>
      <c r="SA138" s="228"/>
      <c r="SB138" s="228"/>
      <c r="SC138" s="228"/>
      <c r="SD138" s="228"/>
      <c r="SE138" s="228"/>
      <c r="SF138" s="228"/>
      <c r="SG138" s="228"/>
      <c r="SH138" s="228"/>
      <c r="SI138" s="228"/>
      <c r="SJ138" s="228"/>
      <c r="SK138" s="228"/>
      <c r="SL138" s="228"/>
      <c r="SM138" s="228"/>
      <c r="SN138" s="228"/>
      <c r="SO138" s="228"/>
      <c r="SP138" s="228"/>
      <c r="SQ138" s="228"/>
      <c r="SR138" s="228"/>
      <c r="SS138" s="228"/>
      <c r="ST138" s="228"/>
      <c r="SU138" s="228"/>
      <c r="SV138" s="228"/>
      <c r="SW138" s="228"/>
      <c r="SX138" s="228"/>
      <c r="SY138" s="228"/>
      <c r="SZ138" s="228"/>
      <c r="TA138" s="228"/>
      <c r="TB138" s="228"/>
      <c r="TC138" s="228"/>
      <c r="TD138" s="228"/>
      <c r="TE138" s="228"/>
      <c r="TF138" s="228"/>
      <c r="TG138" s="228"/>
      <c r="TH138" s="228"/>
      <c r="TI138" s="228"/>
      <c r="TJ138" s="228"/>
      <c r="TK138" s="228"/>
      <c r="TL138" s="228"/>
      <c r="TM138" s="228"/>
      <c r="TN138" s="228"/>
      <c r="TO138" s="228"/>
      <c r="TP138" s="228"/>
      <c r="TQ138" s="228"/>
      <c r="TR138" s="228"/>
      <c r="TS138" s="228"/>
      <c r="TT138" s="228"/>
      <c r="TU138" s="228"/>
    </row>
    <row r="139" spans="1:541" s="268" customFormat="1" outlineLevel="1" x14ac:dyDescent="0.25">
      <c r="A139" s="232">
        <v>4</v>
      </c>
      <c r="B139" s="193" t="s">
        <v>1075</v>
      </c>
      <c r="C139" s="5" t="s">
        <v>801</v>
      </c>
      <c r="D139" s="5" t="s">
        <v>1182</v>
      </c>
      <c r="E139" s="5" t="s">
        <v>803</v>
      </c>
      <c r="F139" s="213" t="s">
        <v>804</v>
      </c>
      <c r="G139" s="213" t="s">
        <v>1067</v>
      </c>
      <c r="H139" s="213" t="s">
        <v>1167</v>
      </c>
      <c r="I139" s="5"/>
      <c r="J139" s="5" t="s">
        <v>806</v>
      </c>
      <c r="K139" s="5" t="s">
        <v>487</v>
      </c>
      <c r="L139" s="5" t="s">
        <v>487</v>
      </c>
      <c r="M139" s="213" t="s">
        <v>487</v>
      </c>
      <c r="N139" s="213" t="s">
        <v>1156</v>
      </c>
      <c r="O139" s="213" t="s">
        <v>1157</v>
      </c>
      <c r="P139" s="5" t="s">
        <v>1158</v>
      </c>
      <c r="Q139" s="234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 s="228"/>
      <c r="AX139" s="228"/>
      <c r="AY139" s="228"/>
      <c r="AZ139" s="228"/>
      <c r="BA139" s="228"/>
      <c r="BB139" s="228"/>
      <c r="BC139" s="228"/>
      <c r="BD139" s="228"/>
      <c r="BE139" s="228"/>
      <c r="BF139" s="228"/>
      <c r="BG139" s="228"/>
      <c r="BH139" s="228"/>
      <c r="BI139" s="228"/>
      <c r="BJ139" s="228"/>
      <c r="BK139" s="228"/>
      <c r="BL139" s="228"/>
      <c r="BM139" s="228"/>
      <c r="BN139" s="228"/>
      <c r="BO139" s="228"/>
      <c r="BP139" s="228"/>
      <c r="BQ139" s="228"/>
      <c r="BR139" s="228"/>
      <c r="BS139" s="228"/>
      <c r="BT139" s="228"/>
      <c r="BU139" s="228"/>
      <c r="BV139" s="228"/>
      <c r="BW139" s="228"/>
      <c r="BX139" s="228"/>
      <c r="BY139" s="228"/>
      <c r="BZ139" s="228"/>
      <c r="CA139" s="228"/>
      <c r="CB139" s="228"/>
      <c r="CC139" s="228"/>
      <c r="CD139" s="228"/>
      <c r="CE139" s="228"/>
      <c r="CF139" s="228"/>
      <c r="CG139" s="228"/>
      <c r="CH139" s="228"/>
      <c r="CI139" s="228"/>
      <c r="CJ139" s="228"/>
      <c r="CK139" s="228"/>
      <c r="CL139" s="228"/>
      <c r="CM139" s="228"/>
      <c r="CN139" s="228"/>
      <c r="CO139" s="228"/>
      <c r="CP139" s="228"/>
      <c r="CQ139" s="228"/>
      <c r="CR139" s="228"/>
      <c r="CS139" s="228"/>
      <c r="CT139" s="228"/>
      <c r="CU139" s="228"/>
      <c r="CV139" s="228"/>
      <c r="CW139" s="228"/>
      <c r="CX139" s="228"/>
      <c r="CY139" s="228"/>
      <c r="CZ139" s="228"/>
      <c r="DA139" s="228"/>
      <c r="DB139" s="228"/>
      <c r="DC139" s="228"/>
      <c r="DD139" s="228"/>
      <c r="DE139" s="228"/>
      <c r="DF139" s="228"/>
      <c r="DG139" s="228"/>
      <c r="DH139" s="228"/>
      <c r="DI139" s="228"/>
      <c r="DJ139" s="228"/>
      <c r="DK139" s="228"/>
      <c r="DL139" s="228"/>
      <c r="DM139" s="228"/>
      <c r="DN139" s="228"/>
      <c r="DO139" s="228"/>
      <c r="DP139" s="228"/>
      <c r="DQ139" s="228"/>
      <c r="DR139" s="228"/>
      <c r="DS139" s="228"/>
      <c r="DT139" s="228"/>
      <c r="DU139" s="228"/>
      <c r="DV139" s="228"/>
      <c r="DW139" s="228"/>
      <c r="DX139" s="228"/>
      <c r="DY139" s="228"/>
      <c r="DZ139" s="228"/>
      <c r="EA139" s="228"/>
      <c r="EB139" s="228"/>
      <c r="EC139" s="228"/>
      <c r="ED139" s="228"/>
      <c r="EE139" s="228"/>
      <c r="EF139" s="228"/>
      <c r="EG139" s="228"/>
      <c r="EH139" s="228"/>
      <c r="EI139" s="228"/>
      <c r="EJ139" s="228"/>
      <c r="EK139" s="228"/>
      <c r="EL139" s="228"/>
      <c r="EM139" s="228"/>
      <c r="EN139" s="228"/>
      <c r="EO139" s="228"/>
      <c r="EP139" s="228"/>
      <c r="EQ139" s="228"/>
      <c r="ER139" s="228"/>
      <c r="ES139" s="228"/>
      <c r="ET139" s="228"/>
      <c r="EU139" s="228"/>
      <c r="EV139" s="228"/>
      <c r="EW139" s="228"/>
      <c r="EX139" s="228"/>
      <c r="EY139" s="228"/>
      <c r="EZ139" s="228"/>
      <c r="FA139" s="228"/>
      <c r="FB139" s="228"/>
      <c r="FC139" s="228"/>
      <c r="FD139" s="228"/>
      <c r="FE139" s="228"/>
      <c r="FF139" s="228"/>
      <c r="FG139" s="228"/>
      <c r="FH139" s="228"/>
      <c r="FI139" s="228"/>
      <c r="FJ139" s="228"/>
      <c r="FK139" s="228"/>
      <c r="FL139" s="228"/>
      <c r="FM139" s="228"/>
      <c r="FN139" s="228"/>
      <c r="FO139" s="228"/>
      <c r="FP139" s="228"/>
      <c r="FQ139" s="228"/>
      <c r="FR139" s="228"/>
      <c r="FS139" s="228"/>
      <c r="FT139" s="228"/>
      <c r="FU139" s="228"/>
      <c r="FV139" s="228"/>
      <c r="FW139" s="228"/>
      <c r="FX139" s="228"/>
      <c r="FY139" s="228"/>
      <c r="FZ139" s="228"/>
      <c r="GA139" s="228"/>
      <c r="GB139" s="228"/>
      <c r="GC139" s="228"/>
      <c r="GD139" s="228"/>
      <c r="GE139" s="228"/>
      <c r="GF139" s="228"/>
      <c r="GG139" s="228"/>
      <c r="GH139" s="228"/>
      <c r="GI139" s="228"/>
      <c r="GJ139" s="228"/>
      <c r="GK139" s="228"/>
      <c r="GL139" s="228"/>
      <c r="GM139" s="228"/>
      <c r="GN139" s="228"/>
      <c r="GO139" s="228"/>
      <c r="GP139" s="228"/>
      <c r="GQ139" s="228"/>
      <c r="GR139" s="228"/>
      <c r="GS139" s="228"/>
      <c r="GT139" s="228"/>
      <c r="GU139" s="228"/>
      <c r="GV139" s="228"/>
      <c r="GW139" s="228"/>
      <c r="GX139" s="228"/>
      <c r="GY139" s="228"/>
      <c r="GZ139" s="228"/>
      <c r="HA139" s="228"/>
      <c r="HB139" s="228"/>
      <c r="HC139" s="228"/>
      <c r="HD139" s="228"/>
      <c r="HE139" s="228"/>
      <c r="HF139" s="228"/>
      <c r="HG139" s="228"/>
      <c r="HH139" s="228"/>
      <c r="HI139" s="228"/>
      <c r="HJ139" s="228"/>
      <c r="HK139" s="228"/>
      <c r="HL139" s="228"/>
      <c r="HM139" s="228"/>
      <c r="HN139" s="228"/>
      <c r="HO139" s="228"/>
      <c r="HP139" s="228"/>
      <c r="HQ139" s="228"/>
      <c r="HR139" s="228"/>
      <c r="HS139" s="228"/>
      <c r="HT139" s="228"/>
      <c r="HU139" s="228"/>
      <c r="HV139" s="228"/>
      <c r="HW139" s="228"/>
      <c r="HX139" s="228"/>
      <c r="HY139" s="228"/>
      <c r="HZ139" s="228"/>
      <c r="IA139" s="228"/>
      <c r="IB139" s="228"/>
      <c r="IC139" s="228"/>
      <c r="ID139" s="228"/>
      <c r="IE139" s="228"/>
      <c r="IF139" s="228"/>
      <c r="IG139" s="228"/>
      <c r="IH139" s="228"/>
      <c r="II139" s="228"/>
      <c r="IJ139" s="228"/>
      <c r="IK139" s="228"/>
      <c r="IL139" s="228"/>
      <c r="IM139" s="228"/>
      <c r="IN139" s="228"/>
      <c r="IO139" s="228"/>
      <c r="IP139" s="228"/>
      <c r="IQ139" s="228"/>
      <c r="IR139" s="228"/>
      <c r="IS139" s="228"/>
      <c r="IT139" s="228"/>
      <c r="IU139" s="228"/>
      <c r="IV139" s="228"/>
      <c r="IW139" s="228"/>
      <c r="IX139" s="228"/>
      <c r="IY139" s="228"/>
      <c r="IZ139" s="228"/>
      <c r="JA139" s="228"/>
      <c r="JB139" s="228"/>
      <c r="JC139" s="228"/>
      <c r="JD139" s="228"/>
      <c r="JE139" s="228"/>
      <c r="JF139" s="228"/>
      <c r="JG139" s="228"/>
      <c r="JH139" s="228"/>
      <c r="JI139" s="228"/>
      <c r="JJ139" s="228"/>
      <c r="JK139" s="228"/>
      <c r="JL139" s="228"/>
      <c r="JM139" s="228"/>
      <c r="JN139" s="228"/>
      <c r="JO139" s="228"/>
      <c r="JP139" s="228"/>
      <c r="JQ139" s="228"/>
      <c r="JR139" s="228"/>
      <c r="JS139" s="228"/>
      <c r="JT139" s="228"/>
      <c r="JU139" s="228"/>
      <c r="JV139" s="228"/>
      <c r="JW139" s="228"/>
      <c r="JX139" s="228"/>
      <c r="JY139" s="228"/>
      <c r="JZ139" s="228"/>
      <c r="KA139" s="228"/>
      <c r="KB139" s="228"/>
      <c r="KC139" s="228"/>
      <c r="KD139" s="228"/>
      <c r="KE139" s="228"/>
      <c r="KF139" s="228"/>
      <c r="KG139" s="228"/>
      <c r="KH139" s="228"/>
      <c r="KI139" s="228"/>
      <c r="KJ139" s="228"/>
      <c r="KK139" s="228"/>
      <c r="KL139" s="228"/>
      <c r="KM139" s="228"/>
      <c r="KN139" s="228"/>
      <c r="KO139" s="228"/>
      <c r="KP139" s="228"/>
      <c r="KQ139" s="228"/>
      <c r="KR139" s="228"/>
      <c r="KS139" s="228"/>
      <c r="KT139" s="228"/>
      <c r="KU139" s="228"/>
      <c r="KV139" s="228"/>
      <c r="KW139" s="228"/>
      <c r="KX139" s="228"/>
      <c r="KY139" s="228"/>
      <c r="KZ139" s="228"/>
      <c r="LA139" s="228"/>
      <c r="LB139" s="228"/>
      <c r="LC139" s="228"/>
      <c r="LD139" s="228"/>
      <c r="LE139" s="228"/>
      <c r="LF139" s="228"/>
      <c r="LG139" s="228"/>
      <c r="LH139" s="228"/>
      <c r="LI139" s="228"/>
      <c r="LJ139" s="228"/>
      <c r="LK139" s="228"/>
      <c r="LL139" s="228"/>
      <c r="LM139" s="228"/>
      <c r="LN139" s="228"/>
      <c r="LO139" s="228"/>
      <c r="LP139" s="228"/>
      <c r="LQ139" s="228"/>
      <c r="LR139" s="228"/>
      <c r="LS139" s="228"/>
      <c r="LT139" s="228"/>
      <c r="LU139" s="228"/>
      <c r="LV139" s="228"/>
      <c r="LW139" s="228"/>
      <c r="LX139" s="228"/>
      <c r="LY139" s="228"/>
      <c r="LZ139" s="228"/>
      <c r="MA139" s="228"/>
      <c r="MB139" s="228"/>
      <c r="MC139" s="228"/>
      <c r="MD139" s="228"/>
      <c r="ME139" s="228"/>
      <c r="MF139" s="228"/>
      <c r="MG139" s="228"/>
      <c r="MH139" s="228"/>
      <c r="MI139" s="228"/>
      <c r="MJ139" s="228"/>
      <c r="MK139" s="228"/>
      <c r="ML139" s="228"/>
      <c r="MM139" s="228"/>
      <c r="MN139" s="228"/>
      <c r="MO139" s="228"/>
      <c r="MP139" s="228"/>
      <c r="MQ139" s="228"/>
      <c r="MR139" s="228"/>
      <c r="MS139" s="228"/>
      <c r="MT139" s="228"/>
      <c r="MU139" s="228"/>
      <c r="MV139" s="228"/>
      <c r="MW139" s="228"/>
      <c r="MX139" s="228"/>
      <c r="MY139" s="228"/>
      <c r="MZ139" s="228"/>
      <c r="NA139" s="228"/>
      <c r="NB139" s="228"/>
      <c r="NC139" s="228"/>
      <c r="ND139" s="228"/>
      <c r="NE139" s="228"/>
      <c r="NF139" s="228"/>
      <c r="NG139" s="228"/>
      <c r="NH139" s="228"/>
      <c r="NI139" s="228"/>
      <c r="NJ139" s="228"/>
      <c r="NK139" s="228"/>
      <c r="NL139" s="228"/>
      <c r="NM139" s="228"/>
      <c r="NN139" s="228"/>
      <c r="NO139" s="228"/>
      <c r="NP139" s="228"/>
      <c r="NQ139" s="228"/>
      <c r="NR139" s="228"/>
      <c r="NS139" s="228"/>
      <c r="NT139" s="228"/>
      <c r="NU139" s="228"/>
      <c r="NV139" s="228"/>
      <c r="NW139" s="228"/>
      <c r="NX139" s="228"/>
      <c r="NY139" s="228"/>
      <c r="NZ139" s="228"/>
      <c r="OA139" s="228"/>
      <c r="OB139" s="228"/>
      <c r="OC139" s="228"/>
      <c r="OD139" s="228"/>
      <c r="OE139" s="228"/>
      <c r="OF139" s="228"/>
      <c r="OG139" s="228"/>
      <c r="OH139" s="228"/>
      <c r="OI139" s="228"/>
      <c r="OJ139" s="228"/>
      <c r="OK139" s="228"/>
      <c r="OL139" s="228"/>
      <c r="OM139" s="228"/>
      <c r="ON139" s="228"/>
      <c r="OO139" s="228"/>
      <c r="OP139" s="228"/>
      <c r="OQ139" s="228"/>
      <c r="OR139" s="228"/>
      <c r="OS139" s="228"/>
      <c r="OT139" s="228"/>
      <c r="OU139" s="228"/>
      <c r="OV139" s="228"/>
      <c r="OW139" s="228"/>
      <c r="OX139" s="228"/>
      <c r="OY139" s="228"/>
      <c r="OZ139" s="228"/>
      <c r="PA139" s="228"/>
      <c r="PB139" s="228"/>
      <c r="PC139" s="228"/>
      <c r="PD139" s="228"/>
      <c r="PE139" s="228"/>
      <c r="PF139" s="228"/>
      <c r="PG139" s="228"/>
      <c r="PH139" s="228"/>
      <c r="PI139" s="228"/>
      <c r="PJ139" s="228"/>
      <c r="PK139" s="228"/>
      <c r="PL139" s="228"/>
      <c r="PM139" s="228"/>
      <c r="PN139" s="228"/>
      <c r="PO139" s="228"/>
      <c r="PP139" s="228"/>
      <c r="PQ139" s="228"/>
      <c r="PR139" s="228"/>
      <c r="PS139" s="228"/>
      <c r="PT139" s="228"/>
      <c r="PU139" s="228"/>
      <c r="PV139" s="228"/>
      <c r="PW139" s="228"/>
      <c r="PX139" s="228"/>
      <c r="PY139" s="228"/>
      <c r="PZ139" s="228"/>
      <c r="QA139" s="228"/>
      <c r="QB139" s="228"/>
      <c r="QC139" s="228"/>
      <c r="QD139" s="228"/>
      <c r="QE139" s="228"/>
      <c r="QF139" s="228"/>
      <c r="QG139" s="228"/>
      <c r="QH139" s="228"/>
      <c r="QI139" s="228"/>
      <c r="QJ139" s="228"/>
      <c r="QK139" s="228"/>
      <c r="QL139" s="228"/>
      <c r="QM139" s="228"/>
      <c r="QN139" s="228"/>
      <c r="QO139" s="228"/>
      <c r="QP139" s="228"/>
      <c r="QQ139" s="228"/>
      <c r="QR139" s="228"/>
      <c r="QS139" s="228"/>
      <c r="QT139" s="228"/>
      <c r="QU139" s="228"/>
      <c r="QV139" s="228"/>
      <c r="QW139" s="228"/>
      <c r="QX139" s="228"/>
      <c r="QY139" s="228"/>
      <c r="QZ139" s="228"/>
      <c r="RA139" s="228"/>
      <c r="RB139" s="228"/>
      <c r="RC139" s="228"/>
      <c r="RD139" s="228"/>
      <c r="RE139" s="228"/>
      <c r="RF139" s="228"/>
      <c r="RG139" s="228"/>
      <c r="RH139" s="228"/>
      <c r="RI139" s="228"/>
      <c r="RJ139" s="228"/>
      <c r="RK139" s="228"/>
      <c r="RL139" s="228"/>
      <c r="RM139" s="228"/>
      <c r="RN139" s="228"/>
      <c r="RO139" s="228"/>
      <c r="RP139" s="228"/>
      <c r="RQ139" s="228"/>
      <c r="RR139" s="228"/>
      <c r="RS139" s="228"/>
      <c r="RT139" s="228"/>
      <c r="RU139" s="228"/>
      <c r="RV139" s="228"/>
      <c r="RW139" s="228"/>
      <c r="RX139" s="228"/>
      <c r="RY139" s="228"/>
      <c r="RZ139" s="228"/>
      <c r="SA139" s="228"/>
      <c r="SB139" s="228"/>
      <c r="SC139" s="228"/>
      <c r="SD139" s="228"/>
      <c r="SE139" s="228"/>
      <c r="SF139" s="228"/>
      <c r="SG139" s="228"/>
      <c r="SH139" s="228"/>
      <c r="SI139" s="228"/>
      <c r="SJ139" s="228"/>
      <c r="SK139" s="228"/>
      <c r="SL139" s="228"/>
      <c r="SM139" s="228"/>
      <c r="SN139" s="228"/>
      <c r="SO139" s="228"/>
      <c r="SP139" s="228"/>
      <c r="SQ139" s="228"/>
      <c r="SR139" s="228"/>
      <c r="SS139" s="228"/>
      <c r="ST139" s="228"/>
      <c r="SU139" s="228"/>
      <c r="SV139" s="228"/>
      <c r="SW139" s="228"/>
      <c r="SX139" s="228"/>
      <c r="SY139" s="228"/>
      <c r="SZ139" s="228"/>
      <c r="TA139" s="228"/>
      <c r="TB139" s="228"/>
      <c r="TC139" s="228"/>
      <c r="TD139" s="228"/>
      <c r="TE139" s="228"/>
      <c r="TF139" s="228"/>
      <c r="TG139" s="228"/>
      <c r="TH139" s="228"/>
      <c r="TI139" s="228"/>
      <c r="TJ139" s="228"/>
      <c r="TK139" s="228"/>
      <c r="TL139" s="228"/>
      <c r="TM139" s="228"/>
      <c r="TN139" s="228"/>
      <c r="TO139" s="228"/>
      <c r="TP139" s="228"/>
      <c r="TQ139" s="228"/>
      <c r="TR139" s="228"/>
      <c r="TS139" s="228"/>
      <c r="TT139" s="228"/>
      <c r="TU139" s="228"/>
    </row>
    <row r="140" spans="1:541" s="268" customFormat="1" outlineLevel="1" x14ac:dyDescent="0.25">
      <c r="A140" s="232">
        <v>5</v>
      </c>
      <c r="B140" s="193" t="s">
        <v>1075</v>
      </c>
      <c r="C140" s="5" t="s">
        <v>668</v>
      </c>
      <c r="D140" s="5" t="s">
        <v>1079</v>
      </c>
      <c r="E140" s="5" t="s">
        <v>100</v>
      </c>
      <c r="F140" s="213" t="s">
        <v>435</v>
      </c>
      <c r="G140" s="213" t="s">
        <v>1067</v>
      </c>
      <c r="H140" s="213" t="s">
        <v>1167</v>
      </c>
      <c r="I140" s="5"/>
      <c r="J140" s="5" t="s">
        <v>808</v>
      </c>
      <c r="K140" s="5" t="s">
        <v>487</v>
      </c>
      <c r="L140" s="5" t="s">
        <v>487</v>
      </c>
      <c r="M140" s="213" t="s">
        <v>487</v>
      </c>
      <c r="N140" s="213" t="s">
        <v>1161</v>
      </c>
      <c r="O140" s="213" t="s">
        <v>1158</v>
      </c>
      <c r="P140" s="213" t="s">
        <v>1162</v>
      </c>
      <c r="Q140" s="234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 s="228"/>
      <c r="AX140" s="228"/>
      <c r="AY140" s="228"/>
      <c r="AZ140" s="228"/>
      <c r="BA140" s="228"/>
      <c r="BB140" s="228"/>
      <c r="BC140" s="228"/>
      <c r="BD140" s="228"/>
      <c r="BE140" s="228"/>
      <c r="BF140" s="228"/>
      <c r="BG140" s="228"/>
      <c r="BH140" s="228"/>
      <c r="BI140" s="228"/>
      <c r="BJ140" s="228"/>
      <c r="BK140" s="228"/>
      <c r="BL140" s="228"/>
      <c r="BM140" s="228"/>
      <c r="BN140" s="228"/>
      <c r="BO140" s="228"/>
      <c r="BP140" s="228"/>
      <c r="BQ140" s="228"/>
      <c r="BR140" s="228"/>
      <c r="BS140" s="228"/>
      <c r="BT140" s="228"/>
      <c r="BU140" s="228"/>
      <c r="BV140" s="228"/>
      <c r="BW140" s="228"/>
      <c r="BX140" s="228"/>
      <c r="BY140" s="228"/>
      <c r="BZ140" s="228"/>
      <c r="CA140" s="228"/>
      <c r="CB140" s="228"/>
      <c r="CC140" s="228"/>
      <c r="CD140" s="228"/>
      <c r="CE140" s="228"/>
      <c r="CF140" s="228"/>
      <c r="CG140" s="228"/>
      <c r="CH140" s="228"/>
      <c r="CI140" s="228"/>
      <c r="CJ140" s="228"/>
      <c r="CK140" s="228"/>
      <c r="CL140" s="228"/>
      <c r="CM140" s="228"/>
      <c r="CN140" s="228"/>
      <c r="CO140" s="228"/>
      <c r="CP140" s="228"/>
      <c r="CQ140" s="228"/>
      <c r="CR140" s="228"/>
      <c r="CS140" s="228"/>
      <c r="CT140" s="228"/>
      <c r="CU140" s="228"/>
      <c r="CV140" s="228"/>
      <c r="CW140" s="228"/>
      <c r="CX140" s="228"/>
      <c r="CY140" s="228"/>
      <c r="CZ140" s="228"/>
      <c r="DA140" s="228"/>
      <c r="DB140" s="228"/>
      <c r="DC140" s="228"/>
      <c r="DD140" s="228"/>
      <c r="DE140" s="228"/>
      <c r="DF140" s="228"/>
      <c r="DG140" s="228"/>
      <c r="DH140" s="228"/>
      <c r="DI140" s="228"/>
      <c r="DJ140" s="228"/>
      <c r="DK140" s="228"/>
      <c r="DL140" s="228"/>
      <c r="DM140" s="228"/>
      <c r="DN140" s="228"/>
      <c r="DO140" s="228"/>
      <c r="DP140" s="228"/>
      <c r="DQ140" s="228"/>
      <c r="DR140" s="228"/>
      <c r="DS140" s="228"/>
      <c r="DT140" s="228"/>
      <c r="DU140" s="228"/>
      <c r="DV140" s="228"/>
      <c r="DW140" s="228"/>
      <c r="DX140" s="228"/>
      <c r="DY140" s="228"/>
      <c r="DZ140" s="228"/>
      <c r="EA140" s="228"/>
      <c r="EB140" s="228"/>
      <c r="EC140" s="228"/>
      <c r="ED140" s="228"/>
      <c r="EE140" s="228"/>
      <c r="EF140" s="228"/>
      <c r="EG140" s="228"/>
      <c r="EH140" s="228"/>
      <c r="EI140" s="228"/>
      <c r="EJ140" s="228"/>
      <c r="EK140" s="228"/>
      <c r="EL140" s="228"/>
      <c r="EM140" s="228"/>
      <c r="EN140" s="228"/>
      <c r="EO140" s="228"/>
      <c r="EP140" s="228"/>
      <c r="EQ140" s="228"/>
      <c r="ER140" s="228"/>
      <c r="ES140" s="228"/>
      <c r="ET140" s="228"/>
      <c r="EU140" s="228"/>
      <c r="EV140" s="228"/>
      <c r="EW140" s="228"/>
      <c r="EX140" s="228"/>
      <c r="EY140" s="228"/>
      <c r="EZ140" s="228"/>
      <c r="FA140" s="228"/>
      <c r="FB140" s="228"/>
      <c r="FC140" s="228"/>
      <c r="FD140" s="228"/>
      <c r="FE140" s="228"/>
      <c r="FF140" s="228"/>
      <c r="FG140" s="228"/>
      <c r="FH140" s="228"/>
      <c r="FI140" s="228"/>
      <c r="FJ140" s="228"/>
      <c r="FK140" s="228"/>
      <c r="FL140" s="228"/>
      <c r="FM140" s="228"/>
      <c r="FN140" s="228"/>
      <c r="FO140" s="228"/>
      <c r="FP140" s="228"/>
      <c r="FQ140" s="228"/>
      <c r="FR140" s="228"/>
      <c r="FS140" s="228"/>
      <c r="FT140" s="228"/>
      <c r="FU140" s="228"/>
      <c r="FV140" s="228"/>
      <c r="FW140" s="228"/>
      <c r="FX140" s="228"/>
      <c r="FY140" s="228"/>
      <c r="FZ140" s="228"/>
      <c r="GA140" s="228"/>
      <c r="GB140" s="228"/>
      <c r="GC140" s="228"/>
      <c r="GD140" s="228"/>
      <c r="GE140" s="228"/>
      <c r="GF140" s="228"/>
      <c r="GG140" s="228"/>
      <c r="GH140" s="228"/>
      <c r="GI140" s="228"/>
      <c r="GJ140" s="228"/>
      <c r="GK140" s="228"/>
      <c r="GL140" s="228"/>
      <c r="GM140" s="228"/>
      <c r="GN140" s="228"/>
      <c r="GO140" s="228"/>
      <c r="GP140" s="228"/>
      <c r="GQ140" s="228"/>
      <c r="GR140" s="228"/>
      <c r="GS140" s="228"/>
      <c r="GT140" s="228"/>
      <c r="GU140" s="228"/>
      <c r="GV140" s="228"/>
      <c r="GW140" s="228"/>
      <c r="GX140" s="228"/>
      <c r="GY140" s="228"/>
      <c r="GZ140" s="228"/>
      <c r="HA140" s="228"/>
      <c r="HB140" s="228"/>
      <c r="HC140" s="228"/>
      <c r="HD140" s="228"/>
      <c r="HE140" s="228"/>
      <c r="HF140" s="228"/>
      <c r="HG140" s="228"/>
      <c r="HH140" s="228"/>
      <c r="HI140" s="228"/>
      <c r="HJ140" s="228"/>
      <c r="HK140" s="228"/>
      <c r="HL140" s="228"/>
      <c r="HM140" s="228"/>
      <c r="HN140" s="228"/>
      <c r="HO140" s="228"/>
      <c r="HP140" s="228"/>
      <c r="HQ140" s="228"/>
      <c r="HR140" s="228"/>
      <c r="HS140" s="228"/>
      <c r="HT140" s="228"/>
      <c r="HU140" s="228"/>
      <c r="HV140" s="228"/>
      <c r="HW140" s="228"/>
      <c r="HX140" s="228"/>
      <c r="HY140" s="228"/>
      <c r="HZ140" s="228"/>
      <c r="IA140" s="228"/>
      <c r="IB140" s="228"/>
      <c r="IC140" s="228"/>
      <c r="ID140" s="228"/>
      <c r="IE140" s="228"/>
      <c r="IF140" s="228"/>
      <c r="IG140" s="228"/>
      <c r="IH140" s="228"/>
      <c r="II140" s="228"/>
      <c r="IJ140" s="228"/>
      <c r="IK140" s="228"/>
      <c r="IL140" s="228"/>
      <c r="IM140" s="228"/>
      <c r="IN140" s="228"/>
      <c r="IO140" s="228"/>
      <c r="IP140" s="228"/>
      <c r="IQ140" s="228"/>
      <c r="IR140" s="228"/>
      <c r="IS140" s="228"/>
      <c r="IT140" s="228"/>
      <c r="IU140" s="228"/>
      <c r="IV140" s="228"/>
      <c r="IW140" s="228"/>
      <c r="IX140" s="228"/>
      <c r="IY140" s="228"/>
      <c r="IZ140" s="228"/>
      <c r="JA140" s="228"/>
      <c r="JB140" s="228"/>
      <c r="JC140" s="228"/>
      <c r="JD140" s="228"/>
      <c r="JE140" s="228"/>
      <c r="JF140" s="228"/>
      <c r="JG140" s="228"/>
      <c r="JH140" s="228"/>
      <c r="JI140" s="228"/>
      <c r="JJ140" s="228"/>
      <c r="JK140" s="228"/>
      <c r="JL140" s="228"/>
      <c r="JM140" s="228"/>
      <c r="JN140" s="228"/>
      <c r="JO140" s="228"/>
      <c r="JP140" s="228"/>
      <c r="JQ140" s="228"/>
      <c r="JR140" s="228"/>
      <c r="JS140" s="228"/>
      <c r="JT140" s="228"/>
      <c r="JU140" s="228"/>
      <c r="JV140" s="228"/>
      <c r="JW140" s="228"/>
      <c r="JX140" s="228"/>
      <c r="JY140" s="228"/>
      <c r="JZ140" s="228"/>
      <c r="KA140" s="228"/>
      <c r="KB140" s="228"/>
      <c r="KC140" s="228"/>
      <c r="KD140" s="228"/>
      <c r="KE140" s="228"/>
      <c r="KF140" s="228"/>
      <c r="KG140" s="228"/>
      <c r="KH140" s="228"/>
      <c r="KI140" s="228"/>
      <c r="KJ140" s="228"/>
      <c r="KK140" s="228"/>
      <c r="KL140" s="228"/>
      <c r="KM140" s="228"/>
      <c r="KN140" s="228"/>
      <c r="KO140" s="228"/>
      <c r="KP140" s="228"/>
      <c r="KQ140" s="228"/>
      <c r="KR140" s="228"/>
      <c r="KS140" s="228"/>
      <c r="KT140" s="228"/>
      <c r="KU140" s="228"/>
      <c r="KV140" s="228"/>
      <c r="KW140" s="228"/>
      <c r="KX140" s="228"/>
      <c r="KY140" s="228"/>
      <c r="KZ140" s="228"/>
      <c r="LA140" s="228"/>
      <c r="LB140" s="228"/>
      <c r="LC140" s="228"/>
      <c r="LD140" s="228"/>
      <c r="LE140" s="228"/>
      <c r="LF140" s="228"/>
      <c r="LG140" s="228"/>
      <c r="LH140" s="228"/>
      <c r="LI140" s="228"/>
      <c r="LJ140" s="228"/>
      <c r="LK140" s="228"/>
      <c r="LL140" s="228"/>
      <c r="LM140" s="228"/>
      <c r="LN140" s="228"/>
      <c r="LO140" s="228"/>
      <c r="LP140" s="228"/>
      <c r="LQ140" s="228"/>
      <c r="LR140" s="228"/>
      <c r="LS140" s="228"/>
      <c r="LT140" s="228"/>
      <c r="LU140" s="228"/>
      <c r="LV140" s="228"/>
      <c r="LW140" s="228"/>
      <c r="LX140" s="228"/>
      <c r="LY140" s="228"/>
      <c r="LZ140" s="228"/>
      <c r="MA140" s="228"/>
      <c r="MB140" s="228"/>
      <c r="MC140" s="228"/>
      <c r="MD140" s="228"/>
      <c r="ME140" s="228"/>
      <c r="MF140" s="228"/>
      <c r="MG140" s="228"/>
      <c r="MH140" s="228"/>
      <c r="MI140" s="228"/>
      <c r="MJ140" s="228"/>
      <c r="MK140" s="228"/>
      <c r="ML140" s="228"/>
      <c r="MM140" s="228"/>
      <c r="MN140" s="228"/>
      <c r="MO140" s="228"/>
      <c r="MP140" s="228"/>
      <c r="MQ140" s="228"/>
      <c r="MR140" s="228"/>
      <c r="MS140" s="228"/>
      <c r="MT140" s="228"/>
      <c r="MU140" s="228"/>
      <c r="MV140" s="228"/>
      <c r="MW140" s="228"/>
      <c r="MX140" s="228"/>
      <c r="MY140" s="228"/>
      <c r="MZ140" s="228"/>
      <c r="NA140" s="228"/>
      <c r="NB140" s="228"/>
      <c r="NC140" s="228"/>
      <c r="ND140" s="228"/>
      <c r="NE140" s="228"/>
      <c r="NF140" s="228"/>
      <c r="NG140" s="228"/>
      <c r="NH140" s="228"/>
      <c r="NI140" s="228"/>
      <c r="NJ140" s="228"/>
      <c r="NK140" s="228"/>
      <c r="NL140" s="228"/>
      <c r="NM140" s="228"/>
      <c r="NN140" s="228"/>
      <c r="NO140" s="228"/>
      <c r="NP140" s="228"/>
      <c r="NQ140" s="228"/>
      <c r="NR140" s="228"/>
      <c r="NS140" s="228"/>
      <c r="NT140" s="228"/>
      <c r="NU140" s="228"/>
      <c r="NV140" s="228"/>
      <c r="NW140" s="228"/>
      <c r="NX140" s="228"/>
      <c r="NY140" s="228"/>
      <c r="NZ140" s="228"/>
      <c r="OA140" s="228"/>
      <c r="OB140" s="228"/>
      <c r="OC140" s="228"/>
      <c r="OD140" s="228"/>
      <c r="OE140" s="228"/>
      <c r="OF140" s="228"/>
      <c r="OG140" s="228"/>
      <c r="OH140" s="228"/>
      <c r="OI140" s="228"/>
      <c r="OJ140" s="228"/>
      <c r="OK140" s="228"/>
      <c r="OL140" s="228"/>
      <c r="OM140" s="228"/>
      <c r="ON140" s="228"/>
      <c r="OO140" s="228"/>
      <c r="OP140" s="228"/>
      <c r="OQ140" s="228"/>
      <c r="OR140" s="228"/>
      <c r="OS140" s="228"/>
      <c r="OT140" s="228"/>
      <c r="OU140" s="228"/>
      <c r="OV140" s="228"/>
      <c r="OW140" s="228"/>
      <c r="OX140" s="228"/>
      <c r="OY140" s="228"/>
      <c r="OZ140" s="228"/>
      <c r="PA140" s="228"/>
      <c r="PB140" s="228"/>
      <c r="PC140" s="228"/>
      <c r="PD140" s="228"/>
      <c r="PE140" s="228"/>
      <c r="PF140" s="228"/>
      <c r="PG140" s="228"/>
      <c r="PH140" s="228"/>
      <c r="PI140" s="228"/>
      <c r="PJ140" s="228"/>
      <c r="PK140" s="228"/>
      <c r="PL140" s="228"/>
      <c r="PM140" s="228"/>
      <c r="PN140" s="228"/>
      <c r="PO140" s="228"/>
      <c r="PP140" s="228"/>
      <c r="PQ140" s="228"/>
      <c r="PR140" s="228"/>
      <c r="PS140" s="228"/>
      <c r="PT140" s="228"/>
      <c r="PU140" s="228"/>
      <c r="PV140" s="228"/>
      <c r="PW140" s="228"/>
      <c r="PX140" s="228"/>
      <c r="PY140" s="228"/>
      <c r="PZ140" s="228"/>
      <c r="QA140" s="228"/>
      <c r="QB140" s="228"/>
      <c r="QC140" s="228"/>
      <c r="QD140" s="228"/>
      <c r="QE140" s="228"/>
      <c r="QF140" s="228"/>
      <c r="QG140" s="228"/>
      <c r="QH140" s="228"/>
      <c r="QI140" s="228"/>
      <c r="QJ140" s="228"/>
      <c r="QK140" s="228"/>
      <c r="QL140" s="228"/>
      <c r="QM140" s="228"/>
      <c r="QN140" s="228"/>
      <c r="QO140" s="228"/>
      <c r="QP140" s="228"/>
      <c r="QQ140" s="228"/>
      <c r="QR140" s="228"/>
      <c r="QS140" s="228"/>
      <c r="QT140" s="228"/>
      <c r="QU140" s="228"/>
      <c r="QV140" s="228"/>
      <c r="QW140" s="228"/>
      <c r="QX140" s="228"/>
      <c r="QY140" s="228"/>
      <c r="QZ140" s="228"/>
      <c r="RA140" s="228"/>
      <c r="RB140" s="228"/>
      <c r="RC140" s="228"/>
      <c r="RD140" s="228"/>
      <c r="RE140" s="228"/>
      <c r="RF140" s="228"/>
      <c r="RG140" s="228"/>
      <c r="RH140" s="228"/>
      <c r="RI140" s="228"/>
      <c r="RJ140" s="228"/>
      <c r="RK140" s="228"/>
      <c r="RL140" s="228"/>
      <c r="RM140" s="228"/>
      <c r="RN140" s="228"/>
      <c r="RO140" s="228"/>
      <c r="RP140" s="228"/>
      <c r="RQ140" s="228"/>
      <c r="RR140" s="228"/>
      <c r="RS140" s="228"/>
      <c r="RT140" s="228"/>
      <c r="RU140" s="228"/>
      <c r="RV140" s="228"/>
      <c r="RW140" s="228"/>
      <c r="RX140" s="228"/>
      <c r="RY140" s="228"/>
      <c r="RZ140" s="228"/>
      <c r="SA140" s="228"/>
      <c r="SB140" s="228"/>
      <c r="SC140" s="228"/>
      <c r="SD140" s="228"/>
      <c r="SE140" s="228"/>
      <c r="SF140" s="228"/>
      <c r="SG140" s="228"/>
      <c r="SH140" s="228"/>
      <c r="SI140" s="228"/>
      <c r="SJ140" s="228"/>
      <c r="SK140" s="228"/>
      <c r="SL140" s="228"/>
      <c r="SM140" s="228"/>
      <c r="SN140" s="228"/>
      <c r="SO140" s="228"/>
      <c r="SP140" s="228"/>
      <c r="SQ140" s="228"/>
      <c r="SR140" s="228"/>
      <c r="SS140" s="228"/>
      <c r="ST140" s="228"/>
      <c r="SU140" s="228"/>
      <c r="SV140" s="228"/>
      <c r="SW140" s="228"/>
      <c r="SX140" s="228"/>
      <c r="SY140" s="228"/>
      <c r="SZ140" s="228"/>
      <c r="TA140" s="228"/>
      <c r="TB140" s="228"/>
      <c r="TC140" s="228"/>
      <c r="TD140" s="228"/>
      <c r="TE140" s="228"/>
      <c r="TF140" s="228"/>
      <c r="TG140" s="228"/>
      <c r="TH140" s="228"/>
      <c r="TI140" s="228"/>
      <c r="TJ140" s="228"/>
      <c r="TK140" s="228"/>
      <c r="TL140" s="228"/>
      <c r="TM140" s="228"/>
      <c r="TN140" s="228"/>
      <c r="TO140" s="228"/>
      <c r="TP140" s="228"/>
      <c r="TQ140" s="228"/>
      <c r="TR140" s="228"/>
      <c r="TS140" s="228"/>
      <c r="TT140" s="228"/>
      <c r="TU140" s="228"/>
    </row>
    <row r="141" spans="1:541" s="268" customFormat="1" outlineLevel="1" x14ac:dyDescent="0.25">
      <c r="A141" s="232">
        <v>6</v>
      </c>
      <c r="B141" s="193" t="s">
        <v>1075</v>
      </c>
      <c r="C141" s="5" t="s">
        <v>668</v>
      </c>
      <c r="D141" s="5" t="s">
        <v>1080</v>
      </c>
      <c r="E141" s="5" t="s">
        <v>100</v>
      </c>
      <c r="F141" s="213" t="s">
        <v>435</v>
      </c>
      <c r="G141" s="213" t="s">
        <v>1067</v>
      </c>
      <c r="H141" s="213" t="s">
        <v>1167</v>
      </c>
      <c r="I141" s="5"/>
      <c r="J141" s="5" t="s">
        <v>808</v>
      </c>
      <c r="K141" s="5" t="s">
        <v>487</v>
      </c>
      <c r="L141" s="5" t="s">
        <v>487</v>
      </c>
      <c r="M141" s="213" t="s">
        <v>487</v>
      </c>
      <c r="N141" s="213" t="s">
        <v>1161</v>
      </c>
      <c r="O141" s="213" t="s">
        <v>1158</v>
      </c>
      <c r="P141" s="213" t="s">
        <v>1162</v>
      </c>
      <c r="Q141" s="234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 s="228"/>
      <c r="AX141" s="228"/>
      <c r="AY141" s="228"/>
      <c r="AZ141" s="228"/>
      <c r="BA141" s="228"/>
      <c r="BB141" s="228"/>
      <c r="BC141" s="228"/>
      <c r="BD141" s="228"/>
      <c r="BE141" s="228"/>
      <c r="BF141" s="228"/>
      <c r="BG141" s="228"/>
      <c r="BH141" s="228"/>
      <c r="BI141" s="228"/>
      <c r="BJ141" s="228"/>
      <c r="BK141" s="228"/>
      <c r="BL141" s="228"/>
      <c r="BM141" s="228"/>
      <c r="BN141" s="228"/>
      <c r="BO141" s="228"/>
      <c r="BP141" s="228"/>
      <c r="BQ141" s="228"/>
      <c r="BR141" s="228"/>
      <c r="BS141" s="228"/>
      <c r="BT141" s="228"/>
      <c r="BU141" s="228"/>
      <c r="BV141" s="228"/>
      <c r="BW141" s="228"/>
      <c r="BX141" s="228"/>
      <c r="BY141" s="228"/>
      <c r="BZ141" s="228"/>
      <c r="CA141" s="228"/>
      <c r="CB141" s="228"/>
      <c r="CC141" s="228"/>
      <c r="CD141" s="228"/>
      <c r="CE141" s="228"/>
      <c r="CF141" s="228"/>
      <c r="CG141" s="228"/>
      <c r="CH141" s="228"/>
      <c r="CI141" s="228"/>
      <c r="CJ141" s="228"/>
      <c r="CK141" s="228"/>
      <c r="CL141" s="228"/>
      <c r="CM141" s="228"/>
      <c r="CN141" s="228"/>
      <c r="CO141" s="228"/>
      <c r="CP141" s="228"/>
      <c r="CQ141" s="228"/>
      <c r="CR141" s="228"/>
      <c r="CS141" s="228"/>
      <c r="CT141" s="228"/>
      <c r="CU141" s="228"/>
      <c r="CV141" s="228"/>
      <c r="CW141" s="228"/>
      <c r="CX141" s="228"/>
      <c r="CY141" s="228"/>
      <c r="CZ141" s="228"/>
      <c r="DA141" s="228"/>
      <c r="DB141" s="228"/>
      <c r="DC141" s="228"/>
      <c r="DD141" s="228"/>
      <c r="DE141" s="228"/>
      <c r="DF141" s="228"/>
      <c r="DG141" s="228"/>
      <c r="DH141" s="228"/>
      <c r="DI141" s="228"/>
      <c r="DJ141" s="228"/>
      <c r="DK141" s="228"/>
      <c r="DL141" s="228"/>
      <c r="DM141" s="228"/>
      <c r="DN141" s="228"/>
      <c r="DO141" s="228"/>
      <c r="DP141" s="228"/>
      <c r="DQ141" s="228"/>
      <c r="DR141" s="228"/>
      <c r="DS141" s="228"/>
      <c r="DT141" s="228"/>
      <c r="DU141" s="228"/>
      <c r="DV141" s="228"/>
      <c r="DW141" s="228"/>
      <c r="DX141" s="228"/>
      <c r="DY141" s="228"/>
      <c r="DZ141" s="228"/>
      <c r="EA141" s="228"/>
      <c r="EB141" s="228"/>
      <c r="EC141" s="228"/>
      <c r="ED141" s="228"/>
      <c r="EE141" s="228"/>
      <c r="EF141" s="228"/>
      <c r="EG141" s="228"/>
      <c r="EH141" s="228"/>
      <c r="EI141" s="228"/>
      <c r="EJ141" s="228"/>
      <c r="EK141" s="228"/>
      <c r="EL141" s="228"/>
      <c r="EM141" s="228"/>
      <c r="EN141" s="228"/>
      <c r="EO141" s="228"/>
      <c r="EP141" s="228"/>
      <c r="EQ141" s="228"/>
      <c r="ER141" s="228"/>
      <c r="ES141" s="228"/>
      <c r="ET141" s="228"/>
      <c r="EU141" s="228"/>
      <c r="EV141" s="228"/>
      <c r="EW141" s="228"/>
      <c r="EX141" s="228"/>
      <c r="EY141" s="228"/>
      <c r="EZ141" s="228"/>
      <c r="FA141" s="228"/>
      <c r="FB141" s="228"/>
      <c r="FC141" s="228"/>
      <c r="FD141" s="228"/>
      <c r="FE141" s="228"/>
      <c r="FF141" s="228"/>
      <c r="FG141" s="228"/>
      <c r="FH141" s="228"/>
      <c r="FI141" s="228"/>
      <c r="FJ141" s="228"/>
      <c r="FK141" s="228"/>
      <c r="FL141" s="228"/>
      <c r="FM141" s="228"/>
      <c r="FN141" s="228"/>
      <c r="FO141" s="228"/>
      <c r="FP141" s="228"/>
      <c r="FQ141" s="228"/>
      <c r="FR141" s="228"/>
      <c r="FS141" s="228"/>
      <c r="FT141" s="228"/>
      <c r="FU141" s="228"/>
      <c r="FV141" s="228"/>
      <c r="FW141" s="228"/>
      <c r="FX141" s="228"/>
      <c r="FY141" s="228"/>
      <c r="FZ141" s="228"/>
      <c r="GA141" s="228"/>
      <c r="GB141" s="228"/>
      <c r="GC141" s="228"/>
      <c r="GD141" s="228"/>
      <c r="GE141" s="228"/>
      <c r="GF141" s="228"/>
      <c r="GG141" s="228"/>
      <c r="GH141" s="228"/>
      <c r="GI141" s="228"/>
      <c r="GJ141" s="228"/>
      <c r="GK141" s="228"/>
      <c r="GL141" s="228"/>
      <c r="GM141" s="228"/>
      <c r="GN141" s="228"/>
      <c r="GO141" s="228"/>
      <c r="GP141" s="228"/>
      <c r="GQ141" s="228"/>
      <c r="GR141" s="228"/>
      <c r="GS141" s="228"/>
      <c r="GT141" s="228"/>
      <c r="GU141" s="228"/>
      <c r="GV141" s="228"/>
      <c r="GW141" s="228"/>
      <c r="GX141" s="228"/>
      <c r="GY141" s="228"/>
      <c r="GZ141" s="228"/>
      <c r="HA141" s="228"/>
      <c r="HB141" s="228"/>
      <c r="HC141" s="228"/>
      <c r="HD141" s="228"/>
      <c r="HE141" s="228"/>
      <c r="HF141" s="228"/>
      <c r="HG141" s="228"/>
      <c r="HH141" s="228"/>
      <c r="HI141" s="228"/>
      <c r="HJ141" s="228"/>
      <c r="HK141" s="228"/>
      <c r="HL141" s="228"/>
      <c r="HM141" s="228"/>
      <c r="HN141" s="228"/>
      <c r="HO141" s="228"/>
      <c r="HP141" s="228"/>
      <c r="HQ141" s="228"/>
      <c r="HR141" s="228"/>
      <c r="HS141" s="228"/>
      <c r="HT141" s="228"/>
      <c r="HU141" s="228"/>
      <c r="HV141" s="228"/>
      <c r="HW141" s="228"/>
      <c r="HX141" s="228"/>
      <c r="HY141" s="228"/>
      <c r="HZ141" s="228"/>
      <c r="IA141" s="228"/>
      <c r="IB141" s="228"/>
      <c r="IC141" s="228"/>
      <c r="ID141" s="228"/>
      <c r="IE141" s="228"/>
      <c r="IF141" s="228"/>
      <c r="IG141" s="228"/>
      <c r="IH141" s="228"/>
      <c r="II141" s="228"/>
      <c r="IJ141" s="228"/>
      <c r="IK141" s="228"/>
      <c r="IL141" s="228"/>
      <c r="IM141" s="228"/>
      <c r="IN141" s="228"/>
      <c r="IO141" s="228"/>
      <c r="IP141" s="228"/>
      <c r="IQ141" s="228"/>
      <c r="IR141" s="228"/>
      <c r="IS141" s="228"/>
      <c r="IT141" s="228"/>
      <c r="IU141" s="228"/>
      <c r="IV141" s="228"/>
      <c r="IW141" s="228"/>
      <c r="IX141" s="228"/>
      <c r="IY141" s="228"/>
      <c r="IZ141" s="228"/>
      <c r="JA141" s="228"/>
      <c r="JB141" s="228"/>
      <c r="JC141" s="228"/>
      <c r="JD141" s="228"/>
      <c r="JE141" s="228"/>
      <c r="JF141" s="228"/>
      <c r="JG141" s="228"/>
      <c r="JH141" s="228"/>
      <c r="JI141" s="228"/>
      <c r="JJ141" s="228"/>
      <c r="JK141" s="228"/>
      <c r="JL141" s="228"/>
      <c r="JM141" s="228"/>
      <c r="JN141" s="228"/>
      <c r="JO141" s="228"/>
      <c r="JP141" s="228"/>
      <c r="JQ141" s="228"/>
      <c r="JR141" s="228"/>
      <c r="JS141" s="228"/>
      <c r="JT141" s="228"/>
      <c r="JU141" s="228"/>
      <c r="JV141" s="228"/>
      <c r="JW141" s="228"/>
      <c r="JX141" s="228"/>
      <c r="JY141" s="228"/>
      <c r="JZ141" s="228"/>
      <c r="KA141" s="228"/>
      <c r="KB141" s="228"/>
      <c r="KC141" s="228"/>
      <c r="KD141" s="228"/>
      <c r="KE141" s="228"/>
      <c r="KF141" s="228"/>
      <c r="KG141" s="228"/>
      <c r="KH141" s="228"/>
      <c r="KI141" s="228"/>
      <c r="KJ141" s="228"/>
      <c r="KK141" s="228"/>
      <c r="KL141" s="228"/>
      <c r="KM141" s="228"/>
      <c r="KN141" s="228"/>
      <c r="KO141" s="228"/>
      <c r="KP141" s="228"/>
      <c r="KQ141" s="228"/>
      <c r="KR141" s="228"/>
      <c r="KS141" s="228"/>
      <c r="KT141" s="228"/>
      <c r="KU141" s="228"/>
      <c r="KV141" s="228"/>
      <c r="KW141" s="228"/>
      <c r="KX141" s="228"/>
      <c r="KY141" s="228"/>
      <c r="KZ141" s="228"/>
      <c r="LA141" s="228"/>
      <c r="LB141" s="228"/>
      <c r="LC141" s="228"/>
      <c r="LD141" s="228"/>
      <c r="LE141" s="228"/>
      <c r="LF141" s="228"/>
      <c r="LG141" s="228"/>
      <c r="LH141" s="228"/>
      <c r="LI141" s="228"/>
      <c r="LJ141" s="228"/>
      <c r="LK141" s="228"/>
      <c r="LL141" s="228"/>
      <c r="LM141" s="228"/>
      <c r="LN141" s="228"/>
      <c r="LO141" s="228"/>
      <c r="LP141" s="228"/>
      <c r="LQ141" s="228"/>
      <c r="LR141" s="228"/>
      <c r="LS141" s="228"/>
      <c r="LT141" s="228"/>
      <c r="LU141" s="228"/>
      <c r="LV141" s="228"/>
      <c r="LW141" s="228"/>
      <c r="LX141" s="228"/>
      <c r="LY141" s="228"/>
      <c r="LZ141" s="228"/>
      <c r="MA141" s="228"/>
      <c r="MB141" s="228"/>
      <c r="MC141" s="228"/>
      <c r="MD141" s="228"/>
      <c r="ME141" s="228"/>
      <c r="MF141" s="228"/>
      <c r="MG141" s="228"/>
      <c r="MH141" s="228"/>
      <c r="MI141" s="228"/>
      <c r="MJ141" s="228"/>
      <c r="MK141" s="228"/>
      <c r="ML141" s="228"/>
      <c r="MM141" s="228"/>
      <c r="MN141" s="228"/>
      <c r="MO141" s="228"/>
      <c r="MP141" s="228"/>
      <c r="MQ141" s="228"/>
      <c r="MR141" s="228"/>
      <c r="MS141" s="228"/>
      <c r="MT141" s="228"/>
      <c r="MU141" s="228"/>
      <c r="MV141" s="228"/>
      <c r="MW141" s="228"/>
      <c r="MX141" s="228"/>
      <c r="MY141" s="228"/>
      <c r="MZ141" s="228"/>
      <c r="NA141" s="228"/>
      <c r="NB141" s="228"/>
      <c r="NC141" s="228"/>
      <c r="ND141" s="228"/>
      <c r="NE141" s="228"/>
      <c r="NF141" s="228"/>
      <c r="NG141" s="228"/>
      <c r="NH141" s="228"/>
      <c r="NI141" s="228"/>
      <c r="NJ141" s="228"/>
      <c r="NK141" s="228"/>
      <c r="NL141" s="228"/>
      <c r="NM141" s="228"/>
      <c r="NN141" s="228"/>
      <c r="NO141" s="228"/>
      <c r="NP141" s="228"/>
      <c r="NQ141" s="228"/>
      <c r="NR141" s="228"/>
      <c r="NS141" s="228"/>
      <c r="NT141" s="228"/>
      <c r="NU141" s="228"/>
      <c r="NV141" s="228"/>
      <c r="NW141" s="228"/>
      <c r="NX141" s="228"/>
      <c r="NY141" s="228"/>
      <c r="NZ141" s="228"/>
      <c r="OA141" s="228"/>
      <c r="OB141" s="228"/>
      <c r="OC141" s="228"/>
      <c r="OD141" s="228"/>
      <c r="OE141" s="228"/>
      <c r="OF141" s="228"/>
      <c r="OG141" s="228"/>
      <c r="OH141" s="228"/>
      <c r="OI141" s="228"/>
      <c r="OJ141" s="228"/>
      <c r="OK141" s="228"/>
      <c r="OL141" s="228"/>
      <c r="OM141" s="228"/>
      <c r="ON141" s="228"/>
      <c r="OO141" s="228"/>
      <c r="OP141" s="228"/>
      <c r="OQ141" s="228"/>
      <c r="OR141" s="228"/>
      <c r="OS141" s="228"/>
      <c r="OT141" s="228"/>
      <c r="OU141" s="228"/>
      <c r="OV141" s="228"/>
      <c r="OW141" s="228"/>
      <c r="OX141" s="228"/>
      <c r="OY141" s="228"/>
      <c r="OZ141" s="228"/>
      <c r="PA141" s="228"/>
      <c r="PB141" s="228"/>
      <c r="PC141" s="228"/>
      <c r="PD141" s="228"/>
      <c r="PE141" s="228"/>
      <c r="PF141" s="228"/>
      <c r="PG141" s="228"/>
      <c r="PH141" s="228"/>
      <c r="PI141" s="228"/>
      <c r="PJ141" s="228"/>
      <c r="PK141" s="228"/>
      <c r="PL141" s="228"/>
      <c r="PM141" s="228"/>
      <c r="PN141" s="228"/>
      <c r="PO141" s="228"/>
      <c r="PP141" s="228"/>
      <c r="PQ141" s="228"/>
      <c r="PR141" s="228"/>
      <c r="PS141" s="228"/>
      <c r="PT141" s="228"/>
      <c r="PU141" s="228"/>
      <c r="PV141" s="228"/>
      <c r="PW141" s="228"/>
      <c r="PX141" s="228"/>
      <c r="PY141" s="228"/>
      <c r="PZ141" s="228"/>
      <c r="QA141" s="228"/>
      <c r="QB141" s="228"/>
      <c r="QC141" s="228"/>
      <c r="QD141" s="228"/>
      <c r="QE141" s="228"/>
      <c r="QF141" s="228"/>
      <c r="QG141" s="228"/>
      <c r="QH141" s="228"/>
      <c r="QI141" s="228"/>
      <c r="QJ141" s="228"/>
      <c r="QK141" s="228"/>
      <c r="QL141" s="228"/>
      <c r="QM141" s="228"/>
      <c r="QN141" s="228"/>
      <c r="QO141" s="228"/>
      <c r="QP141" s="228"/>
      <c r="QQ141" s="228"/>
      <c r="QR141" s="228"/>
      <c r="QS141" s="228"/>
      <c r="QT141" s="228"/>
      <c r="QU141" s="228"/>
      <c r="QV141" s="228"/>
      <c r="QW141" s="228"/>
      <c r="QX141" s="228"/>
      <c r="QY141" s="228"/>
      <c r="QZ141" s="228"/>
      <c r="RA141" s="228"/>
      <c r="RB141" s="228"/>
      <c r="RC141" s="228"/>
      <c r="RD141" s="228"/>
      <c r="RE141" s="228"/>
      <c r="RF141" s="228"/>
      <c r="RG141" s="228"/>
      <c r="RH141" s="228"/>
      <c r="RI141" s="228"/>
      <c r="RJ141" s="228"/>
      <c r="RK141" s="228"/>
      <c r="RL141" s="228"/>
      <c r="RM141" s="228"/>
      <c r="RN141" s="228"/>
      <c r="RO141" s="228"/>
      <c r="RP141" s="228"/>
      <c r="RQ141" s="228"/>
      <c r="RR141" s="228"/>
      <c r="RS141" s="228"/>
      <c r="RT141" s="228"/>
      <c r="RU141" s="228"/>
      <c r="RV141" s="228"/>
      <c r="RW141" s="228"/>
      <c r="RX141" s="228"/>
      <c r="RY141" s="228"/>
      <c r="RZ141" s="228"/>
      <c r="SA141" s="228"/>
      <c r="SB141" s="228"/>
      <c r="SC141" s="228"/>
      <c r="SD141" s="228"/>
      <c r="SE141" s="228"/>
      <c r="SF141" s="228"/>
      <c r="SG141" s="228"/>
      <c r="SH141" s="228"/>
      <c r="SI141" s="228"/>
      <c r="SJ141" s="228"/>
      <c r="SK141" s="228"/>
      <c r="SL141" s="228"/>
      <c r="SM141" s="228"/>
      <c r="SN141" s="228"/>
      <c r="SO141" s="228"/>
      <c r="SP141" s="228"/>
      <c r="SQ141" s="228"/>
      <c r="SR141" s="228"/>
      <c r="SS141" s="228"/>
      <c r="ST141" s="228"/>
      <c r="SU141" s="228"/>
      <c r="SV141" s="228"/>
      <c r="SW141" s="228"/>
      <c r="SX141" s="228"/>
      <c r="SY141" s="228"/>
      <c r="SZ141" s="228"/>
      <c r="TA141" s="228"/>
      <c r="TB141" s="228"/>
      <c r="TC141" s="228"/>
      <c r="TD141" s="228"/>
      <c r="TE141" s="228"/>
      <c r="TF141" s="228"/>
      <c r="TG141" s="228"/>
      <c r="TH141" s="228"/>
      <c r="TI141" s="228"/>
      <c r="TJ141" s="228"/>
      <c r="TK141" s="228"/>
      <c r="TL141" s="228"/>
      <c r="TM141" s="228"/>
      <c r="TN141" s="228"/>
      <c r="TO141" s="228"/>
      <c r="TP141" s="228"/>
      <c r="TQ141" s="228"/>
      <c r="TR141" s="228"/>
      <c r="TS141" s="228"/>
      <c r="TT141" s="228"/>
      <c r="TU141" s="228"/>
    </row>
    <row r="142" spans="1:541" s="268" customFormat="1" outlineLevel="1" x14ac:dyDescent="0.25">
      <c r="A142" s="232">
        <v>7</v>
      </c>
      <c r="B142" s="193" t="s">
        <v>1075</v>
      </c>
      <c r="C142" s="5" t="s">
        <v>1068</v>
      </c>
      <c r="D142" s="5" t="s">
        <v>1081</v>
      </c>
      <c r="E142" s="5" t="s">
        <v>100</v>
      </c>
      <c r="F142" s="213" t="s">
        <v>435</v>
      </c>
      <c r="G142" s="213" t="s">
        <v>1067</v>
      </c>
      <c r="H142" s="213" t="s">
        <v>1167</v>
      </c>
      <c r="I142" s="5"/>
      <c r="J142" s="5" t="s">
        <v>810</v>
      </c>
      <c r="K142" s="5" t="s">
        <v>487</v>
      </c>
      <c r="L142" s="5" t="s">
        <v>487</v>
      </c>
      <c r="M142" s="213" t="s">
        <v>487</v>
      </c>
      <c r="N142" s="213" t="s">
        <v>1161</v>
      </c>
      <c r="O142" s="213" t="s">
        <v>1158</v>
      </c>
      <c r="P142" s="213" t="s">
        <v>1162</v>
      </c>
      <c r="Q142" s="234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 s="228"/>
      <c r="AX142" s="228"/>
      <c r="AY142" s="228"/>
      <c r="AZ142" s="228"/>
      <c r="BA142" s="228"/>
      <c r="BB142" s="228"/>
      <c r="BC142" s="228"/>
      <c r="BD142" s="228"/>
      <c r="BE142" s="228"/>
      <c r="BF142" s="228"/>
      <c r="BG142" s="228"/>
      <c r="BH142" s="228"/>
      <c r="BI142" s="228"/>
      <c r="BJ142" s="228"/>
      <c r="BK142" s="228"/>
      <c r="BL142" s="228"/>
      <c r="BM142" s="228"/>
      <c r="BN142" s="228"/>
      <c r="BO142" s="228"/>
      <c r="BP142" s="228"/>
      <c r="BQ142" s="228"/>
      <c r="BR142" s="228"/>
      <c r="BS142" s="228"/>
      <c r="BT142" s="228"/>
      <c r="BU142" s="228"/>
      <c r="BV142" s="228"/>
      <c r="BW142" s="228"/>
      <c r="BX142" s="228"/>
      <c r="BY142" s="228"/>
      <c r="BZ142" s="228"/>
      <c r="CA142" s="228"/>
      <c r="CB142" s="228"/>
      <c r="CC142" s="228"/>
      <c r="CD142" s="228"/>
      <c r="CE142" s="228"/>
      <c r="CF142" s="228"/>
      <c r="CG142" s="228"/>
      <c r="CH142" s="228"/>
      <c r="CI142" s="228"/>
      <c r="CJ142" s="228"/>
      <c r="CK142" s="228"/>
      <c r="CL142" s="228"/>
      <c r="CM142" s="228"/>
      <c r="CN142" s="228"/>
      <c r="CO142" s="228"/>
      <c r="CP142" s="228"/>
      <c r="CQ142" s="228"/>
      <c r="CR142" s="228"/>
      <c r="CS142" s="228"/>
      <c r="CT142" s="228"/>
      <c r="CU142" s="228"/>
      <c r="CV142" s="228"/>
      <c r="CW142" s="228"/>
      <c r="CX142" s="228"/>
      <c r="CY142" s="228"/>
      <c r="CZ142" s="228"/>
      <c r="DA142" s="228"/>
      <c r="DB142" s="228"/>
      <c r="DC142" s="228"/>
      <c r="DD142" s="228"/>
      <c r="DE142" s="228"/>
      <c r="DF142" s="228"/>
      <c r="DG142" s="228"/>
      <c r="DH142" s="228"/>
      <c r="DI142" s="228"/>
      <c r="DJ142" s="228"/>
      <c r="DK142" s="228"/>
      <c r="DL142" s="228"/>
      <c r="DM142" s="228"/>
      <c r="DN142" s="228"/>
      <c r="DO142" s="228"/>
      <c r="DP142" s="228"/>
      <c r="DQ142" s="228"/>
      <c r="DR142" s="228"/>
      <c r="DS142" s="228"/>
      <c r="DT142" s="228"/>
      <c r="DU142" s="228"/>
      <c r="DV142" s="228"/>
      <c r="DW142" s="228"/>
      <c r="DX142" s="228"/>
      <c r="DY142" s="228"/>
      <c r="DZ142" s="228"/>
      <c r="EA142" s="228"/>
      <c r="EB142" s="228"/>
      <c r="EC142" s="228"/>
      <c r="ED142" s="228"/>
      <c r="EE142" s="228"/>
      <c r="EF142" s="228"/>
      <c r="EG142" s="228"/>
      <c r="EH142" s="228"/>
      <c r="EI142" s="228"/>
      <c r="EJ142" s="228"/>
      <c r="EK142" s="228"/>
      <c r="EL142" s="228"/>
      <c r="EM142" s="228"/>
      <c r="EN142" s="228"/>
      <c r="EO142" s="228"/>
      <c r="EP142" s="228"/>
      <c r="EQ142" s="228"/>
      <c r="ER142" s="228"/>
      <c r="ES142" s="228"/>
      <c r="ET142" s="228"/>
      <c r="EU142" s="228"/>
      <c r="EV142" s="228"/>
      <c r="EW142" s="228"/>
      <c r="EX142" s="228"/>
      <c r="EY142" s="228"/>
      <c r="EZ142" s="228"/>
      <c r="FA142" s="228"/>
      <c r="FB142" s="228"/>
      <c r="FC142" s="228"/>
      <c r="FD142" s="228"/>
      <c r="FE142" s="228"/>
      <c r="FF142" s="228"/>
      <c r="FG142" s="228"/>
      <c r="FH142" s="228"/>
      <c r="FI142" s="228"/>
      <c r="FJ142" s="228"/>
      <c r="FK142" s="228"/>
      <c r="FL142" s="228"/>
      <c r="FM142" s="228"/>
      <c r="FN142" s="228"/>
      <c r="FO142" s="228"/>
      <c r="FP142" s="228"/>
      <c r="FQ142" s="228"/>
      <c r="FR142" s="228"/>
      <c r="FS142" s="228"/>
      <c r="FT142" s="228"/>
      <c r="FU142" s="228"/>
      <c r="FV142" s="228"/>
      <c r="FW142" s="228"/>
      <c r="FX142" s="228"/>
      <c r="FY142" s="228"/>
      <c r="FZ142" s="228"/>
      <c r="GA142" s="228"/>
      <c r="GB142" s="228"/>
      <c r="GC142" s="228"/>
      <c r="GD142" s="228"/>
      <c r="GE142" s="228"/>
      <c r="GF142" s="228"/>
      <c r="GG142" s="228"/>
      <c r="GH142" s="228"/>
      <c r="GI142" s="228"/>
      <c r="GJ142" s="228"/>
      <c r="GK142" s="228"/>
      <c r="GL142" s="228"/>
      <c r="GM142" s="228"/>
      <c r="GN142" s="228"/>
      <c r="GO142" s="228"/>
      <c r="GP142" s="228"/>
      <c r="GQ142" s="228"/>
      <c r="GR142" s="228"/>
      <c r="GS142" s="228"/>
      <c r="GT142" s="228"/>
      <c r="GU142" s="228"/>
      <c r="GV142" s="228"/>
      <c r="GW142" s="228"/>
      <c r="GX142" s="228"/>
      <c r="GY142" s="228"/>
      <c r="GZ142" s="228"/>
      <c r="HA142" s="228"/>
      <c r="HB142" s="228"/>
      <c r="HC142" s="228"/>
      <c r="HD142" s="228"/>
      <c r="HE142" s="228"/>
      <c r="HF142" s="228"/>
      <c r="HG142" s="228"/>
      <c r="HH142" s="228"/>
      <c r="HI142" s="228"/>
      <c r="HJ142" s="228"/>
      <c r="HK142" s="228"/>
      <c r="HL142" s="228"/>
      <c r="HM142" s="228"/>
      <c r="HN142" s="228"/>
      <c r="HO142" s="228"/>
      <c r="HP142" s="228"/>
      <c r="HQ142" s="228"/>
      <c r="HR142" s="228"/>
      <c r="HS142" s="228"/>
      <c r="HT142" s="228"/>
      <c r="HU142" s="228"/>
      <c r="HV142" s="228"/>
      <c r="HW142" s="228"/>
      <c r="HX142" s="228"/>
      <c r="HY142" s="228"/>
      <c r="HZ142" s="228"/>
      <c r="IA142" s="228"/>
      <c r="IB142" s="228"/>
      <c r="IC142" s="228"/>
      <c r="ID142" s="228"/>
      <c r="IE142" s="228"/>
      <c r="IF142" s="228"/>
      <c r="IG142" s="228"/>
      <c r="IH142" s="228"/>
      <c r="II142" s="228"/>
      <c r="IJ142" s="228"/>
      <c r="IK142" s="228"/>
      <c r="IL142" s="228"/>
      <c r="IM142" s="228"/>
      <c r="IN142" s="228"/>
      <c r="IO142" s="228"/>
      <c r="IP142" s="228"/>
      <c r="IQ142" s="228"/>
      <c r="IR142" s="228"/>
      <c r="IS142" s="228"/>
      <c r="IT142" s="228"/>
      <c r="IU142" s="228"/>
      <c r="IV142" s="228"/>
      <c r="IW142" s="228"/>
      <c r="IX142" s="228"/>
      <c r="IY142" s="228"/>
      <c r="IZ142" s="228"/>
      <c r="JA142" s="228"/>
      <c r="JB142" s="228"/>
      <c r="JC142" s="228"/>
      <c r="JD142" s="228"/>
      <c r="JE142" s="228"/>
      <c r="JF142" s="228"/>
      <c r="JG142" s="228"/>
      <c r="JH142" s="228"/>
      <c r="JI142" s="228"/>
      <c r="JJ142" s="228"/>
      <c r="JK142" s="228"/>
      <c r="JL142" s="228"/>
      <c r="JM142" s="228"/>
      <c r="JN142" s="228"/>
      <c r="JO142" s="228"/>
      <c r="JP142" s="228"/>
      <c r="JQ142" s="228"/>
      <c r="JR142" s="228"/>
      <c r="JS142" s="228"/>
      <c r="JT142" s="228"/>
      <c r="JU142" s="228"/>
      <c r="JV142" s="228"/>
      <c r="JW142" s="228"/>
      <c r="JX142" s="228"/>
      <c r="JY142" s="228"/>
      <c r="JZ142" s="228"/>
      <c r="KA142" s="228"/>
      <c r="KB142" s="228"/>
      <c r="KC142" s="228"/>
      <c r="KD142" s="228"/>
      <c r="KE142" s="228"/>
      <c r="KF142" s="228"/>
      <c r="KG142" s="228"/>
      <c r="KH142" s="228"/>
      <c r="KI142" s="228"/>
      <c r="KJ142" s="228"/>
      <c r="KK142" s="228"/>
      <c r="KL142" s="228"/>
      <c r="KM142" s="228"/>
      <c r="KN142" s="228"/>
      <c r="KO142" s="228"/>
      <c r="KP142" s="228"/>
      <c r="KQ142" s="228"/>
      <c r="KR142" s="228"/>
      <c r="KS142" s="228"/>
      <c r="KT142" s="228"/>
      <c r="KU142" s="228"/>
      <c r="KV142" s="228"/>
      <c r="KW142" s="228"/>
      <c r="KX142" s="228"/>
      <c r="KY142" s="228"/>
      <c r="KZ142" s="228"/>
      <c r="LA142" s="228"/>
      <c r="LB142" s="228"/>
      <c r="LC142" s="228"/>
      <c r="LD142" s="228"/>
      <c r="LE142" s="228"/>
      <c r="LF142" s="228"/>
      <c r="LG142" s="228"/>
      <c r="LH142" s="228"/>
      <c r="LI142" s="228"/>
      <c r="LJ142" s="228"/>
      <c r="LK142" s="228"/>
      <c r="LL142" s="228"/>
      <c r="LM142" s="228"/>
      <c r="LN142" s="228"/>
      <c r="LO142" s="228"/>
      <c r="LP142" s="228"/>
      <c r="LQ142" s="228"/>
      <c r="LR142" s="228"/>
      <c r="LS142" s="228"/>
      <c r="LT142" s="228"/>
      <c r="LU142" s="228"/>
      <c r="LV142" s="228"/>
      <c r="LW142" s="228"/>
      <c r="LX142" s="228"/>
      <c r="LY142" s="228"/>
      <c r="LZ142" s="228"/>
      <c r="MA142" s="228"/>
      <c r="MB142" s="228"/>
      <c r="MC142" s="228"/>
      <c r="MD142" s="228"/>
      <c r="ME142" s="228"/>
      <c r="MF142" s="228"/>
      <c r="MG142" s="228"/>
      <c r="MH142" s="228"/>
      <c r="MI142" s="228"/>
      <c r="MJ142" s="228"/>
      <c r="MK142" s="228"/>
      <c r="ML142" s="228"/>
      <c r="MM142" s="228"/>
      <c r="MN142" s="228"/>
      <c r="MO142" s="228"/>
      <c r="MP142" s="228"/>
      <c r="MQ142" s="228"/>
      <c r="MR142" s="228"/>
      <c r="MS142" s="228"/>
      <c r="MT142" s="228"/>
      <c r="MU142" s="228"/>
      <c r="MV142" s="228"/>
      <c r="MW142" s="228"/>
      <c r="MX142" s="228"/>
      <c r="MY142" s="228"/>
      <c r="MZ142" s="228"/>
      <c r="NA142" s="228"/>
      <c r="NB142" s="228"/>
      <c r="NC142" s="228"/>
      <c r="ND142" s="228"/>
      <c r="NE142" s="228"/>
      <c r="NF142" s="228"/>
      <c r="NG142" s="228"/>
      <c r="NH142" s="228"/>
      <c r="NI142" s="228"/>
      <c r="NJ142" s="228"/>
      <c r="NK142" s="228"/>
      <c r="NL142" s="228"/>
      <c r="NM142" s="228"/>
      <c r="NN142" s="228"/>
      <c r="NO142" s="228"/>
      <c r="NP142" s="228"/>
      <c r="NQ142" s="228"/>
      <c r="NR142" s="228"/>
      <c r="NS142" s="228"/>
      <c r="NT142" s="228"/>
      <c r="NU142" s="228"/>
      <c r="NV142" s="228"/>
      <c r="NW142" s="228"/>
      <c r="NX142" s="228"/>
      <c r="NY142" s="228"/>
      <c r="NZ142" s="228"/>
      <c r="OA142" s="228"/>
      <c r="OB142" s="228"/>
      <c r="OC142" s="228"/>
      <c r="OD142" s="228"/>
      <c r="OE142" s="228"/>
      <c r="OF142" s="228"/>
      <c r="OG142" s="228"/>
      <c r="OH142" s="228"/>
      <c r="OI142" s="228"/>
      <c r="OJ142" s="228"/>
      <c r="OK142" s="228"/>
      <c r="OL142" s="228"/>
      <c r="OM142" s="228"/>
      <c r="ON142" s="228"/>
      <c r="OO142" s="228"/>
      <c r="OP142" s="228"/>
      <c r="OQ142" s="228"/>
      <c r="OR142" s="228"/>
      <c r="OS142" s="228"/>
      <c r="OT142" s="228"/>
      <c r="OU142" s="228"/>
      <c r="OV142" s="228"/>
      <c r="OW142" s="228"/>
      <c r="OX142" s="228"/>
      <c r="OY142" s="228"/>
      <c r="OZ142" s="228"/>
      <c r="PA142" s="228"/>
      <c r="PB142" s="228"/>
      <c r="PC142" s="228"/>
      <c r="PD142" s="228"/>
      <c r="PE142" s="228"/>
      <c r="PF142" s="228"/>
      <c r="PG142" s="228"/>
      <c r="PH142" s="228"/>
      <c r="PI142" s="228"/>
      <c r="PJ142" s="228"/>
      <c r="PK142" s="228"/>
      <c r="PL142" s="228"/>
      <c r="PM142" s="228"/>
      <c r="PN142" s="228"/>
      <c r="PO142" s="228"/>
      <c r="PP142" s="228"/>
      <c r="PQ142" s="228"/>
      <c r="PR142" s="228"/>
      <c r="PS142" s="228"/>
      <c r="PT142" s="228"/>
      <c r="PU142" s="228"/>
      <c r="PV142" s="228"/>
      <c r="PW142" s="228"/>
      <c r="PX142" s="228"/>
      <c r="PY142" s="228"/>
      <c r="PZ142" s="228"/>
      <c r="QA142" s="228"/>
      <c r="QB142" s="228"/>
      <c r="QC142" s="228"/>
      <c r="QD142" s="228"/>
      <c r="QE142" s="228"/>
      <c r="QF142" s="228"/>
      <c r="QG142" s="228"/>
      <c r="QH142" s="228"/>
      <c r="QI142" s="228"/>
      <c r="QJ142" s="228"/>
      <c r="QK142" s="228"/>
      <c r="QL142" s="228"/>
      <c r="QM142" s="228"/>
      <c r="QN142" s="228"/>
      <c r="QO142" s="228"/>
      <c r="QP142" s="228"/>
      <c r="QQ142" s="228"/>
      <c r="QR142" s="228"/>
      <c r="QS142" s="228"/>
      <c r="QT142" s="228"/>
      <c r="QU142" s="228"/>
      <c r="QV142" s="228"/>
      <c r="QW142" s="228"/>
      <c r="QX142" s="228"/>
      <c r="QY142" s="228"/>
      <c r="QZ142" s="228"/>
      <c r="RA142" s="228"/>
      <c r="RB142" s="228"/>
      <c r="RC142" s="228"/>
      <c r="RD142" s="228"/>
      <c r="RE142" s="228"/>
      <c r="RF142" s="228"/>
      <c r="RG142" s="228"/>
      <c r="RH142" s="228"/>
      <c r="RI142" s="228"/>
      <c r="RJ142" s="228"/>
      <c r="RK142" s="228"/>
      <c r="RL142" s="228"/>
      <c r="RM142" s="228"/>
      <c r="RN142" s="228"/>
      <c r="RO142" s="228"/>
      <c r="RP142" s="228"/>
      <c r="RQ142" s="228"/>
      <c r="RR142" s="228"/>
      <c r="RS142" s="228"/>
      <c r="RT142" s="228"/>
      <c r="RU142" s="228"/>
      <c r="RV142" s="228"/>
      <c r="RW142" s="228"/>
      <c r="RX142" s="228"/>
      <c r="RY142" s="228"/>
      <c r="RZ142" s="228"/>
      <c r="SA142" s="228"/>
      <c r="SB142" s="228"/>
      <c r="SC142" s="228"/>
      <c r="SD142" s="228"/>
      <c r="SE142" s="228"/>
      <c r="SF142" s="228"/>
      <c r="SG142" s="228"/>
      <c r="SH142" s="228"/>
      <c r="SI142" s="228"/>
      <c r="SJ142" s="228"/>
      <c r="SK142" s="228"/>
      <c r="SL142" s="228"/>
      <c r="SM142" s="228"/>
      <c r="SN142" s="228"/>
      <c r="SO142" s="228"/>
      <c r="SP142" s="228"/>
      <c r="SQ142" s="228"/>
      <c r="SR142" s="228"/>
      <c r="SS142" s="228"/>
      <c r="ST142" s="228"/>
      <c r="SU142" s="228"/>
      <c r="SV142" s="228"/>
      <c r="SW142" s="228"/>
      <c r="SX142" s="228"/>
      <c r="SY142" s="228"/>
      <c r="SZ142" s="228"/>
      <c r="TA142" s="228"/>
      <c r="TB142" s="228"/>
      <c r="TC142" s="228"/>
      <c r="TD142" s="228"/>
      <c r="TE142" s="228"/>
      <c r="TF142" s="228"/>
      <c r="TG142" s="228"/>
      <c r="TH142" s="228"/>
      <c r="TI142" s="228"/>
      <c r="TJ142" s="228"/>
      <c r="TK142" s="228"/>
      <c r="TL142" s="228"/>
      <c r="TM142" s="228"/>
      <c r="TN142" s="228"/>
      <c r="TO142" s="228"/>
      <c r="TP142" s="228"/>
      <c r="TQ142" s="228"/>
      <c r="TR142" s="228"/>
      <c r="TS142" s="228"/>
      <c r="TT142" s="228"/>
      <c r="TU142" s="228"/>
    </row>
    <row r="143" spans="1:541" s="268" customFormat="1" outlineLevel="1" x14ac:dyDescent="0.25">
      <c r="A143" s="232">
        <v>8</v>
      </c>
      <c r="B143" s="193" t="s">
        <v>1075</v>
      </c>
      <c r="C143" s="5" t="s">
        <v>139</v>
      </c>
      <c r="D143" s="5" t="s">
        <v>1082</v>
      </c>
      <c r="E143" s="5" t="s">
        <v>100</v>
      </c>
      <c r="F143" s="213" t="s">
        <v>435</v>
      </c>
      <c r="G143" s="213" t="s">
        <v>1067</v>
      </c>
      <c r="H143" s="213" t="s">
        <v>1167</v>
      </c>
      <c r="I143" s="5"/>
      <c r="J143" s="5" t="s">
        <v>810</v>
      </c>
      <c r="K143" s="5" t="s">
        <v>487</v>
      </c>
      <c r="L143" s="5" t="s">
        <v>487</v>
      </c>
      <c r="M143" s="213" t="s">
        <v>487</v>
      </c>
      <c r="N143" s="213" t="s">
        <v>1161</v>
      </c>
      <c r="O143" s="213" t="s">
        <v>1158</v>
      </c>
      <c r="P143" s="213" t="s">
        <v>1162</v>
      </c>
      <c r="Q143" s="234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8"/>
      <c r="AK143" s="228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 s="228"/>
      <c r="AX143" s="228"/>
      <c r="AY143" s="228"/>
      <c r="AZ143" s="228"/>
      <c r="BA143" s="228"/>
      <c r="BB143" s="228"/>
      <c r="BC143" s="228"/>
      <c r="BD143" s="228"/>
      <c r="BE143" s="228"/>
      <c r="BF143" s="228"/>
      <c r="BG143" s="228"/>
      <c r="BH143" s="228"/>
      <c r="BI143" s="228"/>
      <c r="BJ143" s="228"/>
      <c r="BK143" s="228"/>
      <c r="BL143" s="228"/>
      <c r="BM143" s="228"/>
      <c r="BN143" s="228"/>
      <c r="BO143" s="228"/>
      <c r="BP143" s="228"/>
      <c r="BQ143" s="228"/>
      <c r="BR143" s="228"/>
      <c r="BS143" s="228"/>
      <c r="BT143" s="228"/>
      <c r="BU143" s="228"/>
      <c r="BV143" s="228"/>
      <c r="BW143" s="228"/>
      <c r="BX143" s="228"/>
      <c r="BY143" s="228"/>
      <c r="BZ143" s="228"/>
      <c r="CA143" s="228"/>
      <c r="CB143" s="228"/>
      <c r="CC143" s="228"/>
      <c r="CD143" s="228"/>
      <c r="CE143" s="228"/>
      <c r="CF143" s="228"/>
      <c r="CG143" s="228"/>
      <c r="CH143" s="228"/>
      <c r="CI143" s="228"/>
      <c r="CJ143" s="228"/>
      <c r="CK143" s="228"/>
      <c r="CL143" s="228"/>
      <c r="CM143" s="228"/>
      <c r="CN143" s="228"/>
      <c r="CO143" s="228"/>
      <c r="CP143" s="228"/>
      <c r="CQ143" s="228"/>
      <c r="CR143" s="228"/>
      <c r="CS143" s="228"/>
      <c r="CT143" s="228"/>
      <c r="CU143" s="228"/>
      <c r="CV143" s="228"/>
      <c r="CW143" s="228"/>
      <c r="CX143" s="228"/>
      <c r="CY143" s="228"/>
      <c r="CZ143" s="228"/>
      <c r="DA143" s="228"/>
      <c r="DB143" s="228"/>
      <c r="DC143" s="228"/>
      <c r="DD143" s="228"/>
      <c r="DE143" s="228"/>
      <c r="DF143" s="228"/>
      <c r="DG143" s="228"/>
      <c r="DH143" s="228"/>
      <c r="DI143" s="228"/>
      <c r="DJ143" s="228"/>
      <c r="DK143" s="228"/>
      <c r="DL143" s="228"/>
      <c r="DM143" s="228"/>
      <c r="DN143" s="228"/>
      <c r="DO143" s="228"/>
      <c r="DP143" s="228"/>
      <c r="DQ143" s="228"/>
      <c r="DR143" s="228"/>
      <c r="DS143" s="228"/>
      <c r="DT143" s="228"/>
      <c r="DU143" s="228"/>
      <c r="DV143" s="228"/>
      <c r="DW143" s="228"/>
      <c r="DX143" s="228"/>
      <c r="DY143" s="228"/>
      <c r="DZ143" s="228"/>
      <c r="EA143" s="228"/>
      <c r="EB143" s="228"/>
      <c r="EC143" s="228"/>
      <c r="ED143" s="228"/>
      <c r="EE143" s="228"/>
      <c r="EF143" s="228"/>
      <c r="EG143" s="228"/>
      <c r="EH143" s="228"/>
      <c r="EI143" s="228"/>
      <c r="EJ143" s="228"/>
      <c r="EK143" s="228"/>
      <c r="EL143" s="228"/>
      <c r="EM143" s="228"/>
      <c r="EN143" s="228"/>
      <c r="EO143" s="228"/>
      <c r="EP143" s="228"/>
      <c r="EQ143" s="228"/>
      <c r="ER143" s="228"/>
      <c r="ES143" s="228"/>
      <c r="ET143" s="228"/>
      <c r="EU143" s="228"/>
      <c r="EV143" s="228"/>
      <c r="EW143" s="228"/>
      <c r="EX143" s="228"/>
      <c r="EY143" s="228"/>
      <c r="EZ143" s="228"/>
      <c r="FA143" s="228"/>
      <c r="FB143" s="228"/>
      <c r="FC143" s="228"/>
      <c r="FD143" s="228"/>
      <c r="FE143" s="228"/>
      <c r="FF143" s="228"/>
      <c r="FG143" s="228"/>
      <c r="FH143" s="228"/>
      <c r="FI143" s="228"/>
      <c r="FJ143" s="228"/>
      <c r="FK143" s="228"/>
      <c r="FL143" s="228"/>
      <c r="FM143" s="228"/>
      <c r="FN143" s="228"/>
      <c r="FO143" s="228"/>
      <c r="FP143" s="228"/>
      <c r="FQ143" s="228"/>
      <c r="FR143" s="228"/>
      <c r="FS143" s="228"/>
      <c r="FT143" s="228"/>
      <c r="FU143" s="228"/>
      <c r="FV143" s="228"/>
      <c r="FW143" s="228"/>
      <c r="FX143" s="228"/>
      <c r="FY143" s="228"/>
      <c r="FZ143" s="228"/>
      <c r="GA143" s="228"/>
      <c r="GB143" s="228"/>
      <c r="GC143" s="228"/>
      <c r="GD143" s="228"/>
      <c r="GE143" s="228"/>
      <c r="GF143" s="228"/>
      <c r="GG143" s="228"/>
      <c r="GH143" s="228"/>
      <c r="GI143" s="228"/>
      <c r="GJ143" s="228"/>
      <c r="GK143" s="228"/>
      <c r="GL143" s="228"/>
      <c r="GM143" s="228"/>
      <c r="GN143" s="228"/>
      <c r="GO143" s="228"/>
      <c r="GP143" s="228"/>
      <c r="GQ143" s="228"/>
      <c r="GR143" s="228"/>
      <c r="GS143" s="228"/>
      <c r="GT143" s="228"/>
      <c r="GU143" s="228"/>
      <c r="GV143" s="228"/>
      <c r="GW143" s="228"/>
      <c r="GX143" s="228"/>
      <c r="GY143" s="228"/>
      <c r="GZ143" s="228"/>
      <c r="HA143" s="228"/>
      <c r="HB143" s="228"/>
      <c r="HC143" s="228"/>
      <c r="HD143" s="228"/>
      <c r="HE143" s="228"/>
      <c r="HF143" s="228"/>
      <c r="HG143" s="228"/>
      <c r="HH143" s="228"/>
      <c r="HI143" s="228"/>
      <c r="HJ143" s="228"/>
      <c r="HK143" s="228"/>
      <c r="HL143" s="228"/>
      <c r="HM143" s="228"/>
      <c r="HN143" s="228"/>
      <c r="HO143" s="228"/>
      <c r="HP143" s="228"/>
      <c r="HQ143" s="228"/>
      <c r="HR143" s="228"/>
      <c r="HS143" s="228"/>
      <c r="HT143" s="228"/>
      <c r="HU143" s="228"/>
      <c r="HV143" s="228"/>
      <c r="HW143" s="228"/>
      <c r="HX143" s="228"/>
      <c r="HY143" s="228"/>
      <c r="HZ143" s="228"/>
      <c r="IA143" s="228"/>
      <c r="IB143" s="228"/>
      <c r="IC143" s="228"/>
      <c r="ID143" s="228"/>
      <c r="IE143" s="228"/>
      <c r="IF143" s="228"/>
      <c r="IG143" s="228"/>
      <c r="IH143" s="228"/>
      <c r="II143" s="228"/>
      <c r="IJ143" s="228"/>
      <c r="IK143" s="228"/>
      <c r="IL143" s="228"/>
      <c r="IM143" s="228"/>
      <c r="IN143" s="228"/>
      <c r="IO143" s="228"/>
      <c r="IP143" s="228"/>
      <c r="IQ143" s="228"/>
      <c r="IR143" s="228"/>
      <c r="IS143" s="228"/>
      <c r="IT143" s="228"/>
      <c r="IU143" s="228"/>
      <c r="IV143" s="228"/>
      <c r="IW143" s="228"/>
      <c r="IX143" s="228"/>
      <c r="IY143" s="228"/>
      <c r="IZ143" s="228"/>
      <c r="JA143" s="228"/>
      <c r="JB143" s="228"/>
      <c r="JC143" s="228"/>
      <c r="JD143" s="228"/>
      <c r="JE143" s="228"/>
      <c r="JF143" s="228"/>
      <c r="JG143" s="228"/>
      <c r="JH143" s="228"/>
      <c r="JI143" s="228"/>
      <c r="JJ143" s="228"/>
      <c r="JK143" s="228"/>
      <c r="JL143" s="228"/>
      <c r="JM143" s="228"/>
      <c r="JN143" s="228"/>
      <c r="JO143" s="228"/>
      <c r="JP143" s="228"/>
      <c r="JQ143" s="228"/>
      <c r="JR143" s="228"/>
      <c r="JS143" s="228"/>
      <c r="JT143" s="228"/>
      <c r="JU143" s="228"/>
      <c r="JV143" s="228"/>
      <c r="JW143" s="228"/>
      <c r="JX143" s="228"/>
      <c r="JY143" s="228"/>
      <c r="JZ143" s="228"/>
      <c r="KA143" s="228"/>
      <c r="KB143" s="228"/>
      <c r="KC143" s="228"/>
      <c r="KD143" s="228"/>
      <c r="KE143" s="228"/>
      <c r="KF143" s="228"/>
      <c r="KG143" s="228"/>
      <c r="KH143" s="228"/>
      <c r="KI143" s="228"/>
      <c r="KJ143" s="228"/>
      <c r="KK143" s="228"/>
      <c r="KL143" s="228"/>
      <c r="KM143" s="228"/>
      <c r="KN143" s="228"/>
      <c r="KO143" s="228"/>
      <c r="KP143" s="228"/>
      <c r="KQ143" s="228"/>
      <c r="KR143" s="228"/>
      <c r="KS143" s="228"/>
      <c r="KT143" s="228"/>
      <c r="KU143" s="228"/>
      <c r="KV143" s="228"/>
      <c r="KW143" s="228"/>
      <c r="KX143" s="228"/>
      <c r="KY143" s="228"/>
      <c r="KZ143" s="228"/>
      <c r="LA143" s="228"/>
      <c r="LB143" s="228"/>
      <c r="LC143" s="228"/>
      <c r="LD143" s="228"/>
      <c r="LE143" s="228"/>
      <c r="LF143" s="228"/>
      <c r="LG143" s="228"/>
      <c r="LH143" s="228"/>
      <c r="LI143" s="228"/>
      <c r="LJ143" s="228"/>
      <c r="LK143" s="228"/>
      <c r="LL143" s="228"/>
      <c r="LM143" s="228"/>
      <c r="LN143" s="228"/>
      <c r="LO143" s="228"/>
      <c r="LP143" s="228"/>
      <c r="LQ143" s="228"/>
      <c r="LR143" s="228"/>
      <c r="LS143" s="228"/>
      <c r="LT143" s="228"/>
      <c r="LU143" s="228"/>
      <c r="LV143" s="228"/>
      <c r="LW143" s="228"/>
      <c r="LX143" s="228"/>
      <c r="LY143" s="228"/>
      <c r="LZ143" s="228"/>
      <c r="MA143" s="228"/>
      <c r="MB143" s="228"/>
      <c r="MC143" s="228"/>
      <c r="MD143" s="228"/>
      <c r="ME143" s="228"/>
      <c r="MF143" s="228"/>
      <c r="MG143" s="228"/>
      <c r="MH143" s="228"/>
      <c r="MI143" s="228"/>
      <c r="MJ143" s="228"/>
      <c r="MK143" s="228"/>
      <c r="ML143" s="228"/>
      <c r="MM143" s="228"/>
      <c r="MN143" s="228"/>
      <c r="MO143" s="228"/>
      <c r="MP143" s="228"/>
      <c r="MQ143" s="228"/>
      <c r="MR143" s="228"/>
      <c r="MS143" s="228"/>
      <c r="MT143" s="228"/>
      <c r="MU143" s="228"/>
      <c r="MV143" s="228"/>
      <c r="MW143" s="228"/>
      <c r="MX143" s="228"/>
      <c r="MY143" s="228"/>
      <c r="MZ143" s="228"/>
      <c r="NA143" s="228"/>
      <c r="NB143" s="228"/>
      <c r="NC143" s="228"/>
      <c r="ND143" s="228"/>
      <c r="NE143" s="228"/>
      <c r="NF143" s="228"/>
      <c r="NG143" s="228"/>
      <c r="NH143" s="228"/>
      <c r="NI143" s="228"/>
      <c r="NJ143" s="228"/>
      <c r="NK143" s="228"/>
      <c r="NL143" s="228"/>
      <c r="NM143" s="228"/>
      <c r="NN143" s="228"/>
      <c r="NO143" s="228"/>
      <c r="NP143" s="228"/>
      <c r="NQ143" s="228"/>
      <c r="NR143" s="228"/>
      <c r="NS143" s="228"/>
      <c r="NT143" s="228"/>
      <c r="NU143" s="228"/>
      <c r="NV143" s="228"/>
      <c r="NW143" s="228"/>
      <c r="NX143" s="228"/>
      <c r="NY143" s="228"/>
      <c r="NZ143" s="228"/>
      <c r="OA143" s="228"/>
      <c r="OB143" s="228"/>
      <c r="OC143" s="228"/>
      <c r="OD143" s="228"/>
      <c r="OE143" s="228"/>
      <c r="OF143" s="228"/>
      <c r="OG143" s="228"/>
      <c r="OH143" s="228"/>
      <c r="OI143" s="228"/>
      <c r="OJ143" s="228"/>
      <c r="OK143" s="228"/>
      <c r="OL143" s="228"/>
      <c r="OM143" s="228"/>
      <c r="ON143" s="228"/>
      <c r="OO143" s="228"/>
      <c r="OP143" s="228"/>
      <c r="OQ143" s="228"/>
      <c r="OR143" s="228"/>
      <c r="OS143" s="228"/>
      <c r="OT143" s="228"/>
      <c r="OU143" s="228"/>
      <c r="OV143" s="228"/>
      <c r="OW143" s="228"/>
      <c r="OX143" s="228"/>
      <c r="OY143" s="228"/>
      <c r="OZ143" s="228"/>
      <c r="PA143" s="228"/>
      <c r="PB143" s="228"/>
      <c r="PC143" s="228"/>
      <c r="PD143" s="228"/>
      <c r="PE143" s="228"/>
      <c r="PF143" s="228"/>
      <c r="PG143" s="228"/>
      <c r="PH143" s="228"/>
      <c r="PI143" s="228"/>
      <c r="PJ143" s="228"/>
      <c r="PK143" s="228"/>
      <c r="PL143" s="228"/>
      <c r="PM143" s="228"/>
      <c r="PN143" s="228"/>
      <c r="PO143" s="228"/>
      <c r="PP143" s="228"/>
      <c r="PQ143" s="228"/>
      <c r="PR143" s="228"/>
      <c r="PS143" s="228"/>
      <c r="PT143" s="228"/>
      <c r="PU143" s="228"/>
      <c r="PV143" s="228"/>
      <c r="PW143" s="228"/>
      <c r="PX143" s="228"/>
      <c r="PY143" s="228"/>
      <c r="PZ143" s="228"/>
      <c r="QA143" s="228"/>
      <c r="QB143" s="228"/>
      <c r="QC143" s="228"/>
      <c r="QD143" s="228"/>
      <c r="QE143" s="228"/>
      <c r="QF143" s="228"/>
      <c r="QG143" s="228"/>
      <c r="QH143" s="228"/>
      <c r="QI143" s="228"/>
      <c r="QJ143" s="228"/>
      <c r="QK143" s="228"/>
      <c r="QL143" s="228"/>
      <c r="QM143" s="228"/>
      <c r="QN143" s="228"/>
      <c r="QO143" s="228"/>
      <c r="QP143" s="228"/>
      <c r="QQ143" s="228"/>
      <c r="QR143" s="228"/>
      <c r="QS143" s="228"/>
      <c r="QT143" s="228"/>
      <c r="QU143" s="228"/>
      <c r="QV143" s="228"/>
      <c r="QW143" s="228"/>
      <c r="QX143" s="228"/>
      <c r="QY143" s="228"/>
      <c r="QZ143" s="228"/>
      <c r="RA143" s="228"/>
      <c r="RB143" s="228"/>
      <c r="RC143" s="228"/>
      <c r="RD143" s="228"/>
      <c r="RE143" s="228"/>
      <c r="RF143" s="228"/>
      <c r="RG143" s="228"/>
      <c r="RH143" s="228"/>
      <c r="RI143" s="228"/>
      <c r="RJ143" s="228"/>
      <c r="RK143" s="228"/>
      <c r="RL143" s="228"/>
      <c r="RM143" s="228"/>
      <c r="RN143" s="228"/>
      <c r="RO143" s="228"/>
      <c r="RP143" s="228"/>
      <c r="RQ143" s="228"/>
      <c r="RR143" s="228"/>
      <c r="RS143" s="228"/>
      <c r="RT143" s="228"/>
      <c r="RU143" s="228"/>
      <c r="RV143" s="228"/>
      <c r="RW143" s="228"/>
      <c r="RX143" s="228"/>
      <c r="RY143" s="228"/>
      <c r="RZ143" s="228"/>
      <c r="SA143" s="228"/>
      <c r="SB143" s="228"/>
      <c r="SC143" s="228"/>
      <c r="SD143" s="228"/>
      <c r="SE143" s="228"/>
      <c r="SF143" s="228"/>
      <c r="SG143" s="228"/>
      <c r="SH143" s="228"/>
      <c r="SI143" s="228"/>
      <c r="SJ143" s="228"/>
      <c r="SK143" s="228"/>
      <c r="SL143" s="228"/>
      <c r="SM143" s="228"/>
      <c r="SN143" s="228"/>
      <c r="SO143" s="228"/>
      <c r="SP143" s="228"/>
      <c r="SQ143" s="228"/>
      <c r="SR143" s="228"/>
      <c r="SS143" s="228"/>
      <c r="ST143" s="228"/>
      <c r="SU143" s="228"/>
      <c r="SV143" s="228"/>
      <c r="SW143" s="228"/>
      <c r="SX143" s="228"/>
      <c r="SY143" s="228"/>
      <c r="SZ143" s="228"/>
      <c r="TA143" s="228"/>
      <c r="TB143" s="228"/>
      <c r="TC143" s="228"/>
      <c r="TD143" s="228"/>
      <c r="TE143" s="228"/>
      <c r="TF143" s="228"/>
      <c r="TG143" s="228"/>
      <c r="TH143" s="228"/>
      <c r="TI143" s="228"/>
      <c r="TJ143" s="228"/>
      <c r="TK143" s="228"/>
      <c r="TL143" s="228"/>
      <c r="TM143" s="228"/>
      <c r="TN143" s="228"/>
      <c r="TO143" s="228"/>
      <c r="TP143" s="228"/>
      <c r="TQ143" s="228"/>
      <c r="TR143" s="228"/>
      <c r="TS143" s="228"/>
      <c r="TT143" s="228"/>
      <c r="TU143" s="228"/>
    </row>
    <row r="144" spans="1:541" s="268" customFormat="1" outlineLevel="1" x14ac:dyDescent="0.25">
      <c r="A144" s="232">
        <v>9</v>
      </c>
      <c r="B144" s="193" t="s">
        <v>1075</v>
      </c>
      <c r="C144" s="5" t="s">
        <v>811</v>
      </c>
      <c r="D144" s="5" t="s">
        <v>812</v>
      </c>
      <c r="E144" s="5" t="s">
        <v>803</v>
      </c>
      <c r="F144" s="213" t="s">
        <v>435</v>
      </c>
      <c r="G144" s="213" t="s">
        <v>792</v>
      </c>
      <c r="H144" s="213" t="s">
        <v>1167</v>
      </c>
      <c r="I144" s="5"/>
      <c r="J144" s="5" t="s">
        <v>808</v>
      </c>
      <c r="K144" s="5" t="s">
        <v>487</v>
      </c>
      <c r="L144" s="5" t="s">
        <v>487</v>
      </c>
      <c r="M144" s="213" t="s">
        <v>487</v>
      </c>
      <c r="N144" s="213" t="s">
        <v>1161</v>
      </c>
      <c r="O144" s="213" t="s">
        <v>1158</v>
      </c>
      <c r="P144" s="213" t="s">
        <v>1162</v>
      </c>
      <c r="Q144" s="234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8"/>
      <c r="BH144" s="228"/>
      <c r="BI144" s="228"/>
      <c r="BJ144" s="228"/>
      <c r="BK144" s="228"/>
      <c r="BL144" s="228"/>
      <c r="BM144" s="228"/>
      <c r="BN144" s="228"/>
      <c r="BO144" s="228"/>
      <c r="BP144" s="228"/>
      <c r="BQ144" s="228"/>
      <c r="BR144" s="228"/>
      <c r="BS144" s="228"/>
      <c r="BT144" s="228"/>
      <c r="BU144" s="228"/>
      <c r="BV144" s="228"/>
      <c r="BW144" s="228"/>
      <c r="BX144" s="228"/>
      <c r="BY144" s="228"/>
      <c r="BZ144" s="228"/>
      <c r="CA144" s="228"/>
      <c r="CB144" s="228"/>
      <c r="CC144" s="228"/>
      <c r="CD144" s="228"/>
      <c r="CE144" s="228"/>
      <c r="CF144" s="228"/>
      <c r="CG144" s="228"/>
      <c r="CH144" s="228"/>
      <c r="CI144" s="228"/>
      <c r="CJ144" s="228"/>
      <c r="CK144" s="228"/>
      <c r="CL144" s="228"/>
      <c r="CM144" s="228"/>
      <c r="CN144" s="228"/>
      <c r="CO144" s="228"/>
      <c r="CP144" s="228"/>
      <c r="CQ144" s="228"/>
      <c r="CR144" s="228"/>
      <c r="CS144" s="228"/>
      <c r="CT144" s="228"/>
      <c r="CU144" s="228"/>
      <c r="CV144" s="228"/>
      <c r="CW144" s="228"/>
      <c r="CX144" s="228"/>
      <c r="CY144" s="228"/>
      <c r="CZ144" s="228"/>
      <c r="DA144" s="228"/>
      <c r="DB144" s="228"/>
      <c r="DC144" s="228"/>
      <c r="DD144" s="228"/>
      <c r="DE144" s="228"/>
      <c r="DF144" s="228"/>
      <c r="DG144" s="228"/>
      <c r="DH144" s="228"/>
      <c r="DI144" s="228"/>
      <c r="DJ144" s="228"/>
      <c r="DK144" s="228"/>
      <c r="DL144" s="228"/>
      <c r="DM144" s="228"/>
      <c r="DN144" s="228"/>
      <c r="DO144" s="228"/>
      <c r="DP144" s="228"/>
      <c r="DQ144" s="228"/>
      <c r="DR144" s="228"/>
      <c r="DS144" s="228"/>
      <c r="DT144" s="228"/>
      <c r="DU144" s="228"/>
      <c r="DV144" s="228"/>
      <c r="DW144" s="228"/>
      <c r="DX144" s="228"/>
      <c r="DY144" s="228"/>
      <c r="DZ144" s="228"/>
      <c r="EA144" s="228"/>
      <c r="EB144" s="228"/>
      <c r="EC144" s="228"/>
      <c r="ED144" s="228"/>
      <c r="EE144" s="228"/>
      <c r="EF144" s="228"/>
      <c r="EG144" s="228"/>
      <c r="EH144" s="228"/>
      <c r="EI144" s="228"/>
      <c r="EJ144" s="228"/>
      <c r="EK144" s="228"/>
      <c r="EL144" s="228"/>
      <c r="EM144" s="228"/>
      <c r="EN144" s="228"/>
      <c r="EO144" s="228"/>
      <c r="EP144" s="228"/>
      <c r="EQ144" s="228"/>
      <c r="ER144" s="228"/>
      <c r="ES144" s="228"/>
      <c r="ET144" s="228"/>
      <c r="EU144" s="228"/>
      <c r="EV144" s="228"/>
      <c r="EW144" s="228"/>
      <c r="EX144" s="228"/>
      <c r="EY144" s="228"/>
      <c r="EZ144" s="228"/>
      <c r="FA144" s="228"/>
      <c r="FB144" s="228"/>
      <c r="FC144" s="228"/>
      <c r="FD144" s="228"/>
      <c r="FE144" s="228"/>
      <c r="FF144" s="228"/>
      <c r="FG144" s="228"/>
      <c r="FH144" s="228"/>
      <c r="FI144" s="228"/>
      <c r="FJ144" s="228"/>
      <c r="FK144" s="228"/>
      <c r="FL144" s="228"/>
      <c r="FM144" s="228"/>
      <c r="FN144" s="228"/>
      <c r="FO144" s="228"/>
      <c r="FP144" s="228"/>
      <c r="FQ144" s="228"/>
      <c r="FR144" s="228"/>
      <c r="FS144" s="228"/>
      <c r="FT144" s="228"/>
      <c r="FU144" s="228"/>
      <c r="FV144" s="228"/>
      <c r="FW144" s="228"/>
      <c r="FX144" s="228"/>
      <c r="FY144" s="228"/>
      <c r="FZ144" s="228"/>
      <c r="GA144" s="228"/>
      <c r="GB144" s="228"/>
      <c r="GC144" s="228"/>
      <c r="GD144" s="228"/>
      <c r="GE144" s="228"/>
      <c r="GF144" s="228"/>
      <c r="GG144" s="228"/>
      <c r="GH144" s="228"/>
      <c r="GI144" s="228"/>
      <c r="GJ144" s="228"/>
      <c r="GK144" s="228"/>
      <c r="GL144" s="228"/>
      <c r="GM144" s="228"/>
      <c r="GN144" s="228"/>
      <c r="GO144" s="228"/>
      <c r="GP144" s="228"/>
      <c r="GQ144" s="228"/>
      <c r="GR144" s="228"/>
      <c r="GS144" s="228"/>
      <c r="GT144" s="228"/>
      <c r="GU144" s="228"/>
      <c r="GV144" s="228"/>
      <c r="GW144" s="228"/>
      <c r="GX144" s="228"/>
      <c r="GY144" s="228"/>
      <c r="GZ144" s="228"/>
      <c r="HA144" s="228"/>
      <c r="HB144" s="228"/>
      <c r="HC144" s="228"/>
      <c r="HD144" s="228"/>
      <c r="HE144" s="228"/>
      <c r="HF144" s="228"/>
      <c r="HG144" s="228"/>
      <c r="HH144" s="228"/>
      <c r="HI144" s="228"/>
      <c r="HJ144" s="228"/>
      <c r="HK144" s="228"/>
      <c r="HL144" s="228"/>
      <c r="HM144" s="228"/>
      <c r="HN144" s="228"/>
      <c r="HO144" s="228"/>
      <c r="HP144" s="228"/>
      <c r="HQ144" s="228"/>
      <c r="HR144" s="228"/>
      <c r="HS144" s="228"/>
      <c r="HT144" s="228"/>
      <c r="HU144" s="228"/>
      <c r="HV144" s="228"/>
      <c r="HW144" s="228"/>
      <c r="HX144" s="228"/>
      <c r="HY144" s="228"/>
      <c r="HZ144" s="228"/>
      <c r="IA144" s="228"/>
      <c r="IB144" s="228"/>
      <c r="IC144" s="228"/>
      <c r="ID144" s="228"/>
      <c r="IE144" s="228"/>
      <c r="IF144" s="228"/>
      <c r="IG144" s="228"/>
      <c r="IH144" s="228"/>
      <c r="II144" s="228"/>
      <c r="IJ144" s="228"/>
      <c r="IK144" s="228"/>
      <c r="IL144" s="228"/>
      <c r="IM144" s="228"/>
      <c r="IN144" s="228"/>
      <c r="IO144" s="228"/>
      <c r="IP144" s="228"/>
      <c r="IQ144" s="228"/>
      <c r="IR144" s="228"/>
      <c r="IS144" s="228"/>
      <c r="IT144" s="228"/>
      <c r="IU144" s="228"/>
      <c r="IV144" s="228"/>
      <c r="IW144" s="228"/>
      <c r="IX144" s="228"/>
      <c r="IY144" s="228"/>
      <c r="IZ144" s="228"/>
      <c r="JA144" s="228"/>
      <c r="JB144" s="228"/>
      <c r="JC144" s="228"/>
      <c r="JD144" s="228"/>
      <c r="JE144" s="228"/>
      <c r="JF144" s="228"/>
      <c r="JG144" s="228"/>
      <c r="JH144" s="228"/>
      <c r="JI144" s="228"/>
      <c r="JJ144" s="228"/>
      <c r="JK144" s="228"/>
      <c r="JL144" s="228"/>
      <c r="JM144" s="228"/>
      <c r="JN144" s="228"/>
      <c r="JO144" s="228"/>
      <c r="JP144" s="228"/>
      <c r="JQ144" s="228"/>
      <c r="JR144" s="228"/>
      <c r="JS144" s="228"/>
      <c r="JT144" s="228"/>
      <c r="JU144" s="228"/>
      <c r="JV144" s="228"/>
      <c r="JW144" s="228"/>
      <c r="JX144" s="228"/>
      <c r="JY144" s="228"/>
      <c r="JZ144" s="228"/>
      <c r="KA144" s="228"/>
      <c r="KB144" s="228"/>
      <c r="KC144" s="228"/>
      <c r="KD144" s="228"/>
      <c r="KE144" s="228"/>
      <c r="KF144" s="228"/>
      <c r="KG144" s="228"/>
      <c r="KH144" s="228"/>
      <c r="KI144" s="228"/>
      <c r="KJ144" s="228"/>
      <c r="KK144" s="228"/>
      <c r="KL144" s="228"/>
      <c r="KM144" s="228"/>
      <c r="KN144" s="228"/>
      <c r="KO144" s="228"/>
      <c r="KP144" s="228"/>
      <c r="KQ144" s="228"/>
      <c r="KR144" s="228"/>
      <c r="KS144" s="228"/>
      <c r="KT144" s="228"/>
      <c r="KU144" s="228"/>
      <c r="KV144" s="228"/>
      <c r="KW144" s="228"/>
      <c r="KX144" s="228"/>
      <c r="KY144" s="228"/>
      <c r="KZ144" s="228"/>
      <c r="LA144" s="228"/>
      <c r="LB144" s="228"/>
      <c r="LC144" s="228"/>
      <c r="LD144" s="228"/>
      <c r="LE144" s="228"/>
      <c r="LF144" s="228"/>
      <c r="LG144" s="228"/>
      <c r="LH144" s="228"/>
      <c r="LI144" s="228"/>
      <c r="LJ144" s="228"/>
      <c r="LK144" s="228"/>
      <c r="LL144" s="228"/>
      <c r="LM144" s="228"/>
      <c r="LN144" s="228"/>
      <c r="LO144" s="228"/>
      <c r="LP144" s="228"/>
      <c r="LQ144" s="228"/>
      <c r="LR144" s="228"/>
      <c r="LS144" s="228"/>
      <c r="LT144" s="228"/>
      <c r="LU144" s="228"/>
      <c r="LV144" s="228"/>
      <c r="LW144" s="228"/>
      <c r="LX144" s="228"/>
      <c r="LY144" s="228"/>
      <c r="LZ144" s="228"/>
      <c r="MA144" s="228"/>
      <c r="MB144" s="228"/>
      <c r="MC144" s="228"/>
      <c r="MD144" s="228"/>
      <c r="ME144" s="228"/>
      <c r="MF144" s="228"/>
      <c r="MG144" s="228"/>
      <c r="MH144" s="228"/>
      <c r="MI144" s="228"/>
      <c r="MJ144" s="228"/>
      <c r="MK144" s="228"/>
      <c r="ML144" s="228"/>
      <c r="MM144" s="228"/>
      <c r="MN144" s="228"/>
      <c r="MO144" s="228"/>
      <c r="MP144" s="228"/>
      <c r="MQ144" s="228"/>
      <c r="MR144" s="228"/>
      <c r="MS144" s="228"/>
      <c r="MT144" s="228"/>
      <c r="MU144" s="228"/>
      <c r="MV144" s="228"/>
      <c r="MW144" s="228"/>
      <c r="MX144" s="228"/>
      <c r="MY144" s="228"/>
      <c r="MZ144" s="228"/>
      <c r="NA144" s="228"/>
      <c r="NB144" s="228"/>
      <c r="NC144" s="228"/>
      <c r="ND144" s="228"/>
      <c r="NE144" s="228"/>
      <c r="NF144" s="228"/>
      <c r="NG144" s="228"/>
      <c r="NH144" s="228"/>
      <c r="NI144" s="228"/>
      <c r="NJ144" s="228"/>
      <c r="NK144" s="228"/>
      <c r="NL144" s="228"/>
      <c r="NM144" s="228"/>
      <c r="NN144" s="228"/>
      <c r="NO144" s="228"/>
      <c r="NP144" s="228"/>
      <c r="NQ144" s="228"/>
      <c r="NR144" s="228"/>
      <c r="NS144" s="228"/>
      <c r="NT144" s="228"/>
      <c r="NU144" s="228"/>
      <c r="NV144" s="228"/>
      <c r="NW144" s="228"/>
      <c r="NX144" s="228"/>
      <c r="NY144" s="228"/>
      <c r="NZ144" s="228"/>
      <c r="OA144" s="228"/>
      <c r="OB144" s="228"/>
      <c r="OC144" s="228"/>
      <c r="OD144" s="228"/>
      <c r="OE144" s="228"/>
      <c r="OF144" s="228"/>
      <c r="OG144" s="228"/>
      <c r="OH144" s="228"/>
      <c r="OI144" s="228"/>
      <c r="OJ144" s="228"/>
      <c r="OK144" s="228"/>
      <c r="OL144" s="228"/>
      <c r="OM144" s="228"/>
      <c r="ON144" s="228"/>
      <c r="OO144" s="228"/>
      <c r="OP144" s="228"/>
      <c r="OQ144" s="228"/>
      <c r="OR144" s="228"/>
      <c r="OS144" s="228"/>
      <c r="OT144" s="228"/>
      <c r="OU144" s="228"/>
      <c r="OV144" s="228"/>
      <c r="OW144" s="228"/>
      <c r="OX144" s="228"/>
      <c r="OY144" s="228"/>
      <c r="OZ144" s="228"/>
      <c r="PA144" s="228"/>
      <c r="PB144" s="228"/>
      <c r="PC144" s="228"/>
      <c r="PD144" s="228"/>
      <c r="PE144" s="228"/>
      <c r="PF144" s="228"/>
      <c r="PG144" s="228"/>
      <c r="PH144" s="228"/>
      <c r="PI144" s="228"/>
      <c r="PJ144" s="228"/>
      <c r="PK144" s="228"/>
      <c r="PL144" s="228"/>
      <c r="PM144" s="228"/>
      <c r="PN144" s="228"/>
      <c r="PO144" s="228"/>
      <c r="PP144" s="228"/>
      <c r="PQ144" s="228"/>
      <c r="PR144" s="228"/>
      <c r="PS144" s="228"/>
      <c r="PT144" s="228"/>
      <c r="PU144" s="228"/>
      <c r="PV144" s="228"/>
      <c r="PW144" s="228"/>
      <c r="PX144" s="228"/>
      <c r="PY144" s="228"/>
      <c r="PZ144" s="228"/>
      <c r="QA144" s="228"/>
      <c r="QB144" s="228"/>
      <c r="QC144" s="228"/>
      <c r="QD144" s="228"/>
      <c r="QE144" s="228"/>
      <c r="QF144" s="228"/>
      <c r="QG144" s="228"/>
      <c r="QH144" s="228"/>
      <c r="QI144" s="228"/>
      <c r="QJ144" s="228"/>
      <c r="QK144" s="228"/>
      <c r="QL144" s="228"/>
      <c r="QM144" s="228"/>
      <c r="QN144" s="228"/>
      <c r="QO144" s="228"/>
      <c r="QP144" s="228"/>
      <c r="QQ144" s="228"/>
      <c r="QR144" s="228"/>
      <c r="QS144" s="228"/>
      <c r="QT144" s="228"/>
      <c r="QU144" s="228"/>
      <c r="QV144" s="228"/>
      <c r="QW144" s="228"/>
      <c r="QX144" s="228"/>
      <c r="QY144" s="228"/>
      <c r="QZ144" s="228"/>
      <c r="RA144" s="228"/>
      <c r="RB144" s="228"/>
      <c r="RC144" s="228"/>
      <c r="RD144" s="228"/>
      <c r="RE144" s="228"/>
      <c r="RF144" s="228"/>
      <c r="RG144" s="228"/>
      <c r="RH144" s="228"/>
      <c r="RI144" s="228"/>
      <c r="RJ144" s="228"/>
      <c r="RK144" s="228"/>
      <c r="RL144" s="228"/>
      <c r="RM144" s="228"/>
      <c r="RN144" s="228"/>
      <c r="RO144" s="228"/>
      <c r="RP144" s="228"/>
      <c r="RQ144" s="228"/>
      <c r="RR144" s="228"/>
      <c r="RS144" s="228"/>
      <c r="RT144" s="228"/>
      <c r="RU144" s="228"/>
      <c r="RV144" s="228"/>
      <c r="RW144" s="228"/>
      <c r="RX144" s="228"/>
      <c r="RY144" s="228"/>
      <c r="RZ144" s="228"/>
      <c r="SA144" s="228"/>
      <c r="SB144" s="228"/>
      <c r="SC144" s="228"/>
      <c r="SD144" s="228"/>
      <c r="SE144" s="228"/>
      <c r="SF144" s="228"/>
      <c r="SG144" s="228"/>
      <c r="SH144" s="228"/>
      <c r="SI144" s="228"/>
      <c r="SJ144" s="228"/>
      <c r="SK144" s="228"/>
      <c r="SL144" s="228"/>
      <c r="SM144" s="228"/>
      <c r="SN144" s="228"/>
      <c r="SO144" s="228"/>
      <c r="SP144" s="228"/>
      <c r="SQ144" s="228"/>
      <c r="SR144" s="228"/>
      <c r="SS144" s="228"/>
      <c r="ST144" s="228"/>
      <c r="SU144" s="228"/>
      <c r="SV144" s="228"/>
      <c r="SW144" s="228"/>
      <c r="SX144" s="228"/>
      <c r="SY144" s="228"/>
      <c r="SZ144" s="228"/>
      <c r="TA144" s="228"/>
      <c r="TB144" s="228"/>
      <c r="TC144" s="228"/>
      <c r="TD144" s="228"/>
      <c r="TE144" s="228"/>
      <c r="TF144" s="228"/>
      <c r="TG144" s="228"/>
      <c r="TH144" s="228"/>
      <c r="TI144" s="228"/>
      <c r="TJ144" s="228"/>
      <c r="TK144" s="228"/>
      <c r="TL144" s="228"/>
      <c r="TM144" s="228"/>
      <c r="TN144" s="228"/>
      <c r="TO144" s="228"/>
      <c r="TP144" s="228"/>
      <c r="TQ144" s="228"/>
      <c r="TR144" s="228"/>
      <c r="TS144" s="228"/>
      <c r="TT144" s="228"/>
      <c r="TU144" s="228"/>
    </row>
    <row r="145" spans="1:541" s="268" customFormat="1" outlineLevel="1" x14ac:dyDescent="0.25">
      <c r="A145" s="232">
        <v>10</v>
      </c>
      <c r="B145" s="193" t="s">
        <v>1075</v>
      </c>
      <c r="C145" s="5" t="s">
        <v>1089</v>
      </c>
      <c r="D145" s="5" t="s">
        <v>1083</v>
      </c>
      <c r="E145" s="5" t="s">
        <v>803</v>
      </c>
      <c r="F145" s="213" t="s">
        <v>435</v>
      </c>
      <c r="G145" s="213" t="s">
        <v>1067</v>
      </c>
      <c r="H145" s="213" t="s">
        <v>1167</v>
      </c>
      <c r="I145" s="5"/>
      <c r="J145" s="5" t="s">
        <v>810</v>
      </c>
      <c r="K145" s="5" t="s">
        <v>487</v>
      </c>
      <c r="L145" s="5" t="s">
        <v>487</v>
      </c>
      <c r="M145" s="213" t="s">
        <v>487</v>
      </c>
      <c r="N145" s="213" t="s">
        <v>1161</v>
      </c>
      <c r="O145" s="213" t="s">
        <v>1158</v>
      </c>
      <c r="P145" s="213" t="s">
        <v>1162</v>
      </c>
      <c r="Q145" s="234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 s="228"/>
      <c r="AX145" s="228"/>
      <c r="AY145" s="228"/>
      <c r="AZ145" s="228"/>
      <c r="BA145" s="228"/>
      <c r="BB145" s="228"/>
      <c r="BC145" s="228"/>
      <c r="BD145" s="228"/>
      <c r="BE145" s="228"/>
      <c r="BF145" s="228"/>
      <c r="BG145" s="228"/>
      <c r="BH145" s="228"/>
      <c r="BI145" s="228"/>
      <c r="BJ145" s="228"/>
      <c r="BK145" s="228"/>
      <c r="BL145" s="228"/>
      <c r="BM145" s="228"/>
      <c r="BN145" s="228"/>
      <c r="BO145" s="228"/>
      <c r="BP145" s="228"/>
      <c r="BQ145" s="228"/>
      <c r="BR145" s="228"/>
      <c r="BS145" s="228"/>
      <c r="BT145" s="228"/>
      <c r="BU145" s="228"/>
      <c r="BV145" s="228"/>
      <c r="BW145" s="228"/>
      <c r="BX145" s="228"/>
      <c r="BY145" s="228"/>
      <c r="BZ145" s="228"/>
      <c r="CA145" s="228"/>
      <c r="CB145" s="228"/>
      <c r="CC145" s="228"/>
      <c r="CD145" s="228"/>
      <c r="CE145" s="228"/>
      <c r="CF145" s="228"/>
      <c r="CG145" s="228"/>
      <c r="CH145" s="228"/>
      <c r="CI145" s="228"/>
      <c r="CJ145" s="228"/>
      <c r="CK145" s="228"/>
      <c r="CL145" s="228"/>
      <c r="CM145" s="228"/>
      <c r="CN145" s="228"/>
      <c r="CO145" s="228"/>
      <c r="CP145" s="228"/>
      <c r="CQ145" s="228"/>
      <c r="CR145" s="228"/>
      <c r="CS145" s="228"/>
      <c r="CT145" s="228"/>
      <c r="CU145" s="228"/>
      <c r="CV145" s="228"/>
      <c r="CW145" s="228"/>
      <c r="CX145" s="228"/>
      <c r="CY145" s="228"/>
      <c r="CZ145" s="228"/>
      <c r="DA145" s="228"/>
      <c r="DB145" s="228"/>
      <c r="DC145" s="228"/>
      <c r="DD145" s="228"/>
      <c r="DE145" s="228"/>
      <c r="DF145" s="228"/>
      <c r="DG145" s="228"/>
      <c r="DH145" s="228"/>
      <c r="DI145" s="228"/>
      <c r="DJ145" s="228"/>
      <c r="DK145" s="228"/>
      <c r="DL145" s="228"/>
      <c r="DM145" s="228"/>
      <c r="DN145" s="228"/>
      <c r="DO145" s="228"/>
      <c r="DP145" s="228"/>
      <c r="DQ145" s="228"/>
      <c r="DR145" s="228"/>
      <c r="DS145" s="228"/>
      <c r="DT145" s="228"/>
      <c r="DU145" s="228"/>
      <c r="DV145" s="228"/>
      <c r="DW145" s="228"/>
      <c r="DX145" s="228"/>
      <c r="DY145" s="228"/>
      <c r="DZ145" s="228"/>
      <c r="EA145" s="228"/>
      <c r="EB145" s="228"/>
      <c r="EC145" s="228"/>
      <c r="ED145" s="228"/>
      <c r="EE145" s="228"/>
      <c r="EF145" s="228"/>
      <c r="EG145" s="228"/>
      <c r="EH145" s="228"/>
      <c r="EI145" s="228"/>
      <c r="EJ145" s="228"/>
      <c r="EK145" s="228"/>
      <c r="EL145" s="228"/>
      <c r="EM145" s="228"/>
      <c r="EN145" s="228"/>
      <c r="EO145" s="228"/>
      <c r="EP145" s="228"/>
      <c r="EQ145" s="228"/>
      <c r="ER145" s="228"/>
      <c r="ES145" s="228"/>
      <c r="ET145" s="228"/>
      <c r="EU145" s="228"/>
      <c r="EV145" s="228"/>
      <c r="EW145" s="228"/>
      <c r="EX145" s="228"/>
      <c r="EY145" s="228"/>
      <c r="EZ145" s="228"/>
      <c r="FA145" s="228"/>
      <c r="FB145" s="228"/>
      <c r="FC145" s="228"/>
      <c r="FD145" s="228"/>
      <c r="FE145" s="228"/>
      <c r="FF145" s="228"/>
      <c r="FG145" s="228"/>
      <c r="FH145" s="228"/>
      <c r="FI145" s="228"/>
      <c r="FJ145" s="228"/>
      <c r="FK145" s="228"/>
      <c r="FL145" s="228"/>
      <c r="FM145" s="228"/>
      <c r="FN145" s="228"/>
      <c r="FO145" s="228"/>
      <c r="FP145" s="228"/>
      <c r="FQ145" s="228"/>
      <c r="FR145" s="228"/>
      <c r="FS145" s="228"/>
      <c r="FT145" s="228"/>
      <c r="FU145" s="228"/>
      <c r="FV145" s="228"/>
      <c r="FW145" s="228"/>
      <c r="FX145" s="228"/>
      <c r="FY145" s="228"/>
      <c r="FZ145" s="228"/>
      <c r="GA145" s="228"/>
      <c r="GB145" s="228"/>
      <c r="GC145" s="228"/>
      <c r="GD145" s="228"/>
      <c r="GE145" s="228"/>
      <c r="GF145" s="228"/>
      <c r="GG145" s="228"/>
      <c r="GH145" s="228"/>
      <c r="GI145" s="228"/>
      <c r="GJ145" s="228"/>
      <c r="GK145" s="228"/>
      <c r="GL145" s="228"/>
      <c r="GM145" s="228"/>
      <c r="GN145" s="228"/>
      <c r="GO145" s="228"/>
      <c r="GP145" s="228"/>
      <c r="GQ145" s="228"/>
      <c r="GR145" s="228"/>
      <c r="GS145" s="228"/>
      <c r="GT145" s="228"/>
      <c r="GU145" s="228"/>
      <c r="GV145" s="228"/>
      <c r="GW145" s="228"/>
      <c r="GX145" s="228"/>
      <c r="GY145" s="228"/>
      <c r="GZ145" s="228"/>
      <c r="HA145" s="228"/>
      <c r="HB145" s="228"/>
      <c r="HC145" s="228"/>
      <c r="HD145" s="228"/>
      <c r="HE145" s="228"/>
      <c r="HF145" s="228"/>
      <c r="HG145" s="228"/>
      <c r="HH145" s="228"/>
      <c r="HI145" s="228"/>
      <c r="HJ145" s="228"/>
      <c r="HK145" s="228"/>
      <c r="HL145" s="228"/>
      <c r="HM145" s="228"/>
      <c r="HN145" s="228"/>
      <c r="HO145" s="228"/>
      <c r="HP145" s="228"/>
      <c r="HQ145" s="228"/>
      <c r="HR145" s="228"/>
      <c r="HS145" s="228"/>
      <c r="HT145" s="228"/>
      <c r="HU145" s="228"/>
      <c r="HV145" s="228"/>
      <c r="HW145" s="228"/>
      <c r="HX145" s="228"/>
      <c r="HY145" s="228"/>
      <c r="HZ145" s="228"/>
      <c r="IA145" s="228"/>
      <c r="IB145" s="228"/>
      <c r="IC145" s="228"/>
      <c r="ID145" s="228"/>
      <c r="IE145" s="228"/>
      <c r="IF145" s="228"/>
      <c r="IG145" s="228"/>
      <c r="IH145" s="228"/>
      <c r="II145" s="228"/>
      <c r="IJ145" s="228"/>
      <c r="IK145" s="228"/>
      <c r="IL145" s="228"/>
      <c r="IM145" s="228"/>
      <c r="IN145" s="228"/>
      <c r="IO145" s="228"/>
      <c r="IP145" s="228"/>
      <c r="IQ145" s="228"/>
      <c r="IR145" s="228"/>
      <c r="IS145" s="228"/>
      <c r="IT145" s="228"/>
      <c r="IU145" s="228"/>
      <c r="IV145" s="228"/>
      <c r="IW145" s="228"/>
      <c r="IX145" s="228"/>
      <c r="IY145" s="228"/>
      <c r="IZ145" s="228"/>
      <c r="JA145" s="228"/>
      <c r="JB145" s="228"/>
      <c r="JC145" s="228"/>
      <c r="JD145" s="228"/>
      <c r="JE145" s="228"/>
      <c r="JF145" s="228"/>
      <c r="JG145" s="228"/>
      <c r="JH145" s="228"/>
      <c r="JI145" s="228"/>
      <c r="JJ145" s="228"/>
      <c r="JK145" s="228"/>
      <c r="JL145" s="228"/>
      <c r="JM145" s="228"/>
      <c r="JN145" s="228"/>
      <c r="JO145" s="228"/>
      <c r="JP145" s="228"/>
      <c r="JQ145" s="228"/>
      <c r="JR145" s="228"/>
      <c r="JS145" s="228"/>
      <c r="JT145" s="228"/>
      <c r="JU145" s="228"/>
      <c r="JV145" s="228"/>
      <c r="JW145" s="228"/>
      <c r="JX145" s="228"/>
      <c r="JY145" s="228"/>
      <c r="JZ145" s="228"/>
      <c r="KA145" s="228"/>
      <c r="KB145" s="228"/>
      <c r="KC145" s="228"/>
      <c r="KD145" s="228"/>
      <c r="KE145" s="228"/>
      <c r="KF145" s="228"/>
      <c r="KG145" s="228"/>
      <c r="KH145" s="228"/>
      <c r="KI145" s="228"/>
      <c r="KJ145" s="228"/>
      <c r="KK145" s="228"/>
      <c r="KL145" s="228"/>
      <c r="KM145" s="228"/>
      <c r="KN145" s="228"/>
      <c r="KO145" s="228"/>
      <c r="KP145" s="228"/>
      <c r="KQ145" s="228"/>
      <c r="KR145" s="228"/>
      <c r="KS145" s="228"/>
      <c r="KT145" s="228"/>
      <c r="KU145" s="228"/>
      <c r="KV145" s="228"/>
      <c r="KW145" s="228"/>
      <c r="KX145" s="228"/>
      <c r="KY145" s="228"/>
      <c r="KZ145" s="228"/>
      <c r="LA145" s="228"/>
      <c r="LB145" s="228"/>
      <c r="LC145" s="228"/>
      <c r="LD145" s="228"/>
      <c r="LE145" s="228"/>
      <c r="LF145" s="228"/>
      <c r="LG145" s="228"/>
      <c r="LH145" s="228"/>
      <c r="LI145" s="228"/>
      <c r="LJ145" s="228"/>
      <c r="LK145" s="228"/>
      <c r="LL145" s="228"/>
      <c r="LM145" s="228"/>
      <c r="LN145" s="228"/>
      <c r="LO145" s="228"/>
      <c r="LP145" s="228"/>
      <c r="LQ145" s="228"/>
      <c r="LR145" s="228"/>
      <c r="LS145" s="228"/>
      <c r="LT145" s="228"/>
      <c r="LU145" s="228"/>
      <c r="LV145" s="228"/>
      <c r="LW145" s="228"/>
      <c r="LX145" s="228"/>
      <c r="LY145" s="228"/>
      <c r="LZ145" s="228"/>
      <c r="MA145" s="228"/>
      <c r="MB145" s="228"/>
      <c r="MC145" s="228"/>
      <c r="MD145" s="228"/>
      <c r="ME145" s="228"/>
      <c r="MF145" s="228"/>
      <c r="MG145" s="228"/>
      <c r="MH145" s="228"/>
      <c r="MI145" s="228"/>
      <c r="MJ145" s="228"/>
      <c r="MK145" s="228"/>
      <c r="ML145" s="228"/>
      <c r="MM145" s="228"/>
      <c r="MN145" s="228"/>
      <c r="MO145" s="228"/>
      <c r="MP145" s="228"/>
      <c r="MQ145" s="228"/>
      <c r="MR145" s="228"/>
      <c r="MS145" s="228"/>
      <c r="MT145" s="228"/>
      <c r="MU145" s="228"/>
      <c r="MV145" s="228"/>
      <c r="MW145" s="228"/>
      <c r="MX145" s="228"/>
      <c r="MY145" s="228"/>
      <c r="MZ145" s="228"/>
      <c r="NA145" s="228"/>
      <c r="NB145" s="228"/>
      <c r="NC145" s="228"/>
      <c r="ND145" s="228"/>
      <c r="NE145" s="228"/>
      <c r="NF145" s="228"/>
      <c r="NG145" s="228"/>
      <c r="NH145" s="228"/>
      <c r="NI145" s="228"/>
      <c r="NJ145" s="228"/>
      <c r="NK145" s="228"/>
      <c r="NL145" s="228"/>
      <c r="NM145" s="228"/>
      <c r="NN145" s="228"/>
      <c r="NO145" s="228"/>
      <c r="NP145" s="228"/>
      <c r="NQ145" s="228"/>
      <c r="NR145" s="228"/>
      <c r="NS145" s="228"/>
      <c r="NT145" s="228"/>
      <c r="NU145" s="228"/>
      <c r="NV145" s="228"/>
      <c r="NW145" s="228"/>
      <c r="NX145" s="228"/>
      <c r="NY145" s="228"/>
      <c r="NZ145" s="228"/>
      <c r="OA145" s="228"/>
      <c r="OB145" s="228"/>
      <c r="OC145" s="228"/>
      <c r="OD145" s="228"/>
      <c r="OE145" s="228"/>
      <c r="OF145" s="228"/>
      <c r="OG145" s="228"/>
      <c r="OH145" s="228"/>
      <c r="OI145" s="228"/>
      <c r="OJ145" s="228"/>
      <c r="OK145" s="228"/>
      <c r="OL145" s="228"/>
      <c r="OM145" s="228"/>
      <c r="ON145" s="228"/>
      <c r="OO145" s="228"/>
      <c r="OP145" s="228"/>
      <c r="OQ145" s="228"/>
      <c r="OR145" s="228"/>
      <c r="OS145" s="228"/>
      <c r="OT145" s="228"/>
      <c r="OU145" s="228"/>
      <c r="OV145" s="228"/>
      <c r="OW145" s="228"/>
      <c r="OX145" s="228"/>
      <c r="OY145" s="228"/>
      <c r="OZ145" s="228"/>
      <c r="PA145" s="228"/>
      <c r="PB145" s="228"/>
      <c r="PC145" s="228"/>
      <c r="PD145" s="228"/>
      <c r="PE145" s="228"/>
      <c r="PF145" s="228"/>
      <c r="PG145" s="228"/>
      <c r="PH145" s="228"/>
      <c r="PI145" s="228"/>
      <c r="PJ145" s="228"/>
      <c r="PK145" s="228"/>
      <c r="PL145" s="228"/>
      <c r="PM145" s="228"/>
      <c r="PN145" s="228"/>
      <c r="PO145" s="228"/>
      <c r="PP145" s="228"/>
      <c r="PQ145" s="228"/>
      <c r="PR145" s="228"/>
      <c r="PS145" s="228"/>
      <c r="PT145" s="228"/>
      <c r="PU145" s="228"/>
      <c r="PV145" s="228"/>
      <c r="PW145" s="228"/>
      <c r="PX145" s="228"/>
      <c r="PY145" s="228"/>
      <c r="PZ145" s="228"/>
      <c r="QA145" s="228"/>
      <c r="QB145" s="228"/>
      <c r="QC145" s="228"/>
      <c r="QD145" s="228"/>
      <c r="QE145" s="228"/>
      <c r="QF145" s="228"/>
      <c r="QG145" s="228"/>
      <c r="QH145" s="228"/>
      <c r="QI145" s="228"/>
      <c r="QJ145" s="228"/>
      <c r="QK145" s="228"/>
      <c r="QL145" s="228"/>
      <c r="QM145" s="228"/>
      <c r="QN145" s="228"/>
      <c r="QO145" s="228"/>
      <c r="QP145" s="228"/>
      <c r="QQ145" s="228"/>
      <c r="QR145" s="228"/>
      <c r="QS145" s="228"/>
      <c r="QT145" s="228"/>
      <c r="QU145" s="228"/>
      <c r="QV145" s="228"/>
      <c r="QW145" s="228"/>
      <c r="QX145" s="228"/>
      <c r="QY145" s="228"/>
      <c r="QZ145" s="228"/>
      <c r="RA145" s="228"/>
      <c r="RB145" s="228"/>
      <c r="RC145" s="228"/>
      <c r="RD145" s="228"/>
      <c r="RE145" s="228"/>
      <c r="RF145" s="228"/>
      <c r="RG145" s="228"/>
      <c r="RH145" s="228"/>
      <c r="RI145" s="228"/>
      <c r="RJ145" s="228"/>
      <c r="RK145" s="228"/>
      <c r="RL145" s="228"/>
      <c r="RM145" s="228"/>
      <c r="RN145" s="228"/>
      <c r="RO145" s="228"/>
      <c r="RP145" s="228"/>
      <c r="RQ145" s="228"/>
      <c r="RR145" s="228"/>
      <c r="RS145" s="228"/>
      <c r="RT145" s="228"/>
      <c r="RU145" s="228"/>
      <c r="RV145" s="228"/>
      <c r="RW145" s="228"/>
      <c r="RX145" s="228"/>
      <c r="RY145" s="228"/>
      <c r="RZ145" s="228"/>
      <c r="SA145" s="228"/>
      <c r="SB145" s="228"/>
      <c r="SC145" s="228"/>
      <c r="SD145" s="228"/>
      <c r="SE145" s="228"/>
      <c r="SF145" s="228"/>
      <c r="SG145" s="228"/>
      <c r="SH145" s="228"/>
      <c r="SI145" s="228"/>
      <c r="SJ145" s="228"/>
      <c r="SK145" s="228"/>
      <c r="SL145" s="228"/>
      <c r="SM145" s="228"/>
      <c r="SN145" s="228"/>
      <c r="SO145" s="228"/>
      <c r="SP145" s="228"/>
      <c r="SQ145" s="228"/>
      <c r="SR145" s="228"/>
      <c r="SS145" s="228"/>
      <c r="ST145" s="228"/>
      <c r="SU145" s="228"/>
      <c r="SV145" s="228"/>
      <c r="SW145" s="228"/>
      <c r="SX145" s="228"/>
      <c r="SY145" s="228"/>
      <c r="SZ145" s="228"/>
      <c r="TA145" s="228"/>
      <c r="TB145" s="228"/>
      <c r="TC145" s="228"/>
      <c r="TD145" s="228"/>
      <c r="TE145" s="228"/>
      <c r="TF145" s="228"/>
      <c r="TG145" s="228"/>
      <c r="TH145" s="228"/>
      <c r="TI145" s="228"/>
      <c r="TJ145" s="228"/>
      <c r="TK145" s="228"/>
      <c r="TL145" s="228"/>
      <c r="TM145" s="228"/>
      <c r="TN145" s="228"/>
      <c r="TO145" s="228"/>
      <c r="TP145" s="228"/>
      <c r="TQ145" s="228"/>
      <c r="TR145" s="228"/>
      <c r="TS145" s="228"/>
      <c r="TT145" s="228"/>
      <c r="TU145" s="228"/>
    </row>
    <row r="146" spans="1:541" s="268" customFormat="1" outlineLevel="1" x14ac:dyDescent="0.25">
      <c r="A146" s="232">
        <v>11</v>
      </c>
      <c r="B146" s="193" t="s">
        <v>1075</v>
      </c>
      <c r="C146" s="5" t="s">
        <v>811</v>
      </c>
      <c r="D146" s="5" t="s">
        <v>816</v>
      </c>
      <c r="E146" s="5" t="s">
        <v>100</v>
      </c>
      <c r="F146" s="213" t="s">
        <v>0</v>
      </c>
      <c r="G146" s="213" t="s">
        <v>792</v>
      </c>
      <c r="H146" s="213" t="s">
        <v>1167</v>
      </c>
      <c r="I146" s="5"/>
      <c r="J146" s="5" t="s">
        <v>0</v>
      </c>
      <c r="K146" s="5" t="s">
        <v>487</v>
      </c>
      <c r="L146" s="5" t="s">
        <v>487</v>
      </c>
      <c r="M146" s="213" t="s">
        <v>487</v>
      </c>
      <c r="N146" s="5" t="s">
        <v>1159</v>
      </c>
      <c r="O146" s="5" t="s">
        <v>1160</v>
      </c>
      <c r="P146" s="5" t="s">
        <v>1156</v>
      </c>
      <c r="Q146" s="234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 s="228"/>
      <c r="AX146" s="228"/>
      <c r="AY146" s="228"/>
      <c r="AZ146" s="228"/>
      <c r="BA146" s="228"/>
      <c r="BB146" s="228"/>
      <c r="BC146" s="228"/>
      <c r="BD146" s="228"/>
      <c r="BE146" s="228"/>
      <c r="BF146" s="228"/>
      <c r="BG146" s="228"/>
      <c r="BH146" s="228"/>
      <c r="BI146" s="228"/>
      <c r="BJ146" s="228"/>
      <c r="BK146" s="228"/>
      <c r="BL146" s="228"/>
      <c r="BM146" s="228"/>
      <c r="BN146" s="228"/>
      <c r="BO146" s="228"/>
      <c r="BP146" s="228"/>
      <c r="BQ146" s="228"/>
      <c r="BR146" s="228"/>
      <c r="BS146" s="228"/>
      <c r="BT146" s="228"/>
      <c r="BU146" s="228"/>
      <c r="BV146" s="228"/>
      <c r="BW146" s="228"/>
      <c r="BX146" s="228"/>
      <c r="BY146" s="228"/>
      <c r="BZ146" s="228"/>
      <c r="CA146" s="228"/>
      <c r="CB146" s="228"/>
      <c r="CC146" s="228"/>
      <c r="CD146" s="228"/>
      <c r="CE146" s="228"/>
      <c r="CF146" s="228"/>
      <c r="CG146" s="228"/>
      <c r="CH146" s="228"/>
      <c r="CI146" s="228"/>
      <c r="CJ146" s="228"/>
      <c r="CK146" s="228"/>
      <c r="CL146" s="228"/>
      <c r="CM146" s="228"/>
      <c r="CN146" s="228"/>
      <c r="CO146" s="228"/>
      <c r="CP146" s="228"/>
      <c r="CQ146" s="228"/>
      <c r="CR146" s="228"/>
      <c r="CS146" s="228"/>
      <c r="CT146" s="228"/>
      <c r="CU146" s="228"/>
      <c r="CV146" s="228"/>
      <c r="CW146" s="228"/>
      <c r="CX146" s="228"/>
      <c r="CY146" s="228"/>
      <c r="CZ146" s="228"/>
      <c r="DA146" s="228"/>
      <c r="DB146" s="228"/>
      <c r="DC146" s="228"/>
      <c r="DD146" s="228"/>
      <c r="DE146" s="228"/>
      <c r="DF146" s="228"/>
      <c r="DG146" s="228"/>
      <c r="DH146" s="228"/>
      <c r="DI146" s="228"/>
      <c r="DJ146" s="228"/>
      <c r="DK146" s="228"/>
      <c r="DL146" s="228"/>
      <c r="DM146" s="228"/>
      <c r="DN146" s="228"/>
      <c r="DO146" s="228"/>
      <c r="DP146" s="228"/>
      <c r="DQ146" s="228"/>
      <c r="DR146" s="228"/>
      <c r="DS146" s="228"/>
      <c r="DT146" s="228"/>
      <c r="DU146" s="228"/>
      <c r="DV146" s="228"/>
      <c r="DW146" s="228"/>
      <c r="DX146" s="228"/>
      <c r="DY146" s="228"/>
      <c r="DZ146" s="228"/>
      <c r="EA146" s="228"/>
      <c r="EB146" s="228"/>
      <c r="EC146" s="228"/>
      <c r="ED146" s="228"/>
      <c r="EE146" s="228"/>
      <c r="EF146" s="228"/>
      <c r="EG146" s="228"/>
      <c r="EH146" s="228"/>
      <c r="EI146" s="228"/>
      <c r="EJ146" s="228"/>
      <c r="EK146" s="228"/>
      <c r="EL146" s="228"/>
      <c r="EM146" s="228"/>
      <c r="EN146" s="228"/>
      <c r="EO146" s="228"/>
      <c r="EP146" s="228"/>
      <c r="EQ146" s="228"/>
      <c r="ER146" s="228"/>
      <c r="ES146" s="228"/>
      <c r="ET146" s="228"/>
      <c r="EU146" s="228"/>
      <c r="EV146" s="228"/>
      <c r="EW146" s="228"/>
      <c r="EX146" s="228"/>
      <c r="EY146" s="228"/>
      <c r="EZ146" s="228"/>
      <c r="FA146" s="228"/>
      <c r="FB146" s="228"/>
      <c r="FC146" s="228"/>
      <c r="FD146" s="228"/>
      <c r="FE146" s="228"/>
      <c r="FF146" s="228"/>
      <c r="FG146" s="228"/>
      <c r="FH146" s="228"/>
      <c r="FI146" s="228"/>
      <c r="FJ146" s="228"/>
      <c r="FK146" s="228"/>
      <c r="FL146" s="228"/>
      <c r="FM146" s="228"/>
      <c r="FN146" s="228"/>
      <c r="FO146" s="228"/>
      <c r="FP146" s="228"/>
      <c r="FQ146" s="228"/>
      <c r="FR146" s="228"/>
      <c r="FS146" s="228"/>
      <c r="FT146" s="228"/>
      <c r="FU146" s="228"/>
      <c r="FV146" s="228"/>
      <c r="FW146" s="228"/>
      <c r="FX146" s="228"/>
      <c r="FY146" s="228"/>
      <c r="FZ146" s="228"/>
      <c r="GA146" s="228"/>
      <c r="GB146" s="228"/>
      <c r="GC146" s="228"/>
      <c r="GD146" s="228"/>
      <c r="GE146" s="228"/>
      <c r="GF146" s="228"/>
      <c r="GG146" s="228"/>
      <c r="GH146" s="228"/>
      <c r="GI146" s="228"/>
      <c r="GJ146" s="228"/>
      <c r="GK146" s="228"/>
      <c r="GL146" s="228"/>
      <c r="GM146" s="228"/>
      <c r="GN146" s="228"/>
      <c r="GO146" s="228"/>
      <c r="GP146" s="228"/>
      <c r="GQ146" s="228"/>
      <c r="GR146" s="228"/>
      <c r="GS146" s="228"/>
      <c r="GT146" s="228"/>
      <c r="GU146" s="228"/>
      <c r="GV146" s="228"/>
      <c r="GW146" s="228"/>
      <c r="GX146" s="228"/>
      <c r="GY146" s="228"/>
      <c r="GZ146" s="228"/>
      <c r="HA146" s="228"/>
      <c r="HB146" s="228"/>
      <c r="HC146" s="228"/>
      <c r="HD146" s="228"/>
      <c r="HE146" s="228"/>
      <c r="HF146" s="228"/>
      <c r="HG146" s="228"/>
      <c r="HH146" s="228"/>
      <c r="HI146" s="228"/>
      <c r="HJ146" s="228"/>
      <c r="HK146" s="228"/>
      <c r="HL146" s="228"/>
      <c r="HM146" s="228"/>
      <c r="HN146" s="228"/>
      <c r="HO146" s="228"/>
      <c r="HP146" s="228"/>
      <c r="HQ146" s="228"/>
      <c r="HR146" s="228"/>
      <c r="HS146" s="228"/>
      <c r="HT146" s="228"/>
      <c r="HU146" s="228"/>
      <c r="HV146" s="228"/>
      <c r="HW146" s="228"/>
      <c r="HX146" s="228"/>
      <c r="HY146" s="228"/>
      <c r="HZ146" s="228"/>
      <c r="IA146" s="228"/>
      <c r="IB146" s="228"/>
      <c r="IC146" s="228"/>
      <c r="ID146" s="228"/>
      <c r="IE146" s="228"/>
      <c r="IF146" s="228"/>
      <c r="IG146" s="228"/>
      <c r="IH146" s="228"/>
      <c r="II146" s="228"/>
      <c r="IJ146" s="228"/>
      <c r="IK146" s="228"/>
      <c r="IL146" s="228"/>
      <c r="IM146" s="228"/>
      <c r="IN146" s="228"/>
      <c r="IO146" s="228"/>
      <c r="IP146" s="228"/>
      <c r="IQ146" s="228"/>
      <c r="IR146" s="228"/>
      <c r="IS146" s="228"/>
      <c r="IT146" s="228"/>
      <c r="IU146" s="228"/>
      <c r="IV146" s="228"/>
      <c r="IW146" s="228"/>
      <c r="IX146" s="228"/>
      <c r="IY146" s="228"/>
      <c r="IZ146" s="228"/>
      <c r="JA146" s="228"/>
      <c r="JB146" s="228"/>
      <c r="JC146" s="228"/>
      <c r="JD146" s="228"/>
      <c r="JE146" s="228"/>
      <c r="JF146" s="228"/>
      <c r="JG146" s="228"/>
      <c r="JH146" s="228"/>
      <c r="JI146" s="228"/>
      <c r="JJ146" s="228"/>
      <c r="JK146" s="228"/>
      <c r="JL146" s="228"/>
      <c r="JM146" s="228"/>
      <c r="JN146" s="228"/>
      <c r="JO146" s="228"/>
      <c r="JP146" s="228"/>
      <c r="JQ146" s="228"/>
      <c r="JR146" s="228"/>
      <c r="JS146" s="228"/>
      <c r="JT146" s="228"/>
      <c r="JU146" s="228"/>
      <c r="JV146" s="228"/>
      <c r="JW146" s="228"/>
      <c r="JX146" s="228"/>
      <c r="JY146" s="228"/>
      <c r="JZ146" s="228"/>
      <c r="KA146" s="228"/>
      <c r="KB146" s="228"/>
      <c r="KC146" s="228"/>
      <c r="KD146" s="228"/>
      <c r="KE146" s="228"/>
      <c r="KF146" s="228"/>
      <c r="KG146" s="228"/>
      <c r="KH146" s="228"/>
      <c r="KI146" s="228"/>
      <c r="KJ146" s="228"/>
      <c r="KK146" s="228"/>
      <c r="KL146" s="228"/>
      <c r="KM146" s="228"/>
      <c r="KN146" s="228"/>
      <c r="KO146" s="228"/>
      <c r="KP146" s="228"/>
      <c r="KQ146" s="228"/>
      <c r="KR146" s="228"/>
      <c r="KS146" s="228"/>
      <c r="KT146" s="228"/>
      <c r="KU146" s="228"/>
      <c r="KV146" s="228"/>
      <c r="KW146" s="228"/>
      <c r="KX146" s="228"/>
      <c r="KY146" s="228"/>
      <c r="KZ146" s="228"/>
      <c r="LA146" s="228"/>
      <c r="LB146" s="228"/>
      <c r="LC146" s="228"/>
      <c r="LD146" s="228"/>
      <c r="LE146" s="228"/>
      <c r="LF146" s="228"/>
      <c r="LG146" s="228"/>
      <c r="LH146" s="228"/>
      <c r="LI146" s="228"/>
      <c r="LJ146" s="228"/>
      <c r="LK146" s="228"/>
      <c r="LL146" s="228"/>
      <c r="LM146" s="228"/>
      <c r="LN146" s="228"/>
      <c r="LO146" s="228"/>
      <c r="LP146" s="228"/>
      <c r="LQ146" s="228"/>
      <c r="LR146" s="228"/>
      <c r="LS146" s="228"/>
      <c r="LT146" s="228"/>
      <c r="LU146" s="228"/>
      <c r="LV146" s="228"/>
      <c r="LW146" s="228"/>
      <c r="LX146" s="228"/>
      <c r="LY146" s="228"/>
      <c r="LZ146" s="228"/>
      <c r="MA146" s="228"/>
      <c r="MB146" s="228"/>
      <c r="MC146" s="228"/>
      <c r="MD146" s="228"/>
      <c r="ME146" s="228"/>
      <c r="MF146" s="228"/>
      <c r="MG146" s="228"/>
      <c r="MH146" s="228"/>
      <c r="MI146" s="228"/>
      <c r="MJ146" s="228"/>
      <c r="MK146" s="228"/>
      <c r="ML146" s="228"/>
      <c r="MM146" s="228"/>
      <c r="MN146" s="228"/>
      <c r="MO146" s="228"/>
      <c r="MP146" s="228"/>
      <c r="MQ146" s="228"/>
      <c r="MR146" s="228"/>
      <c r="MS146" s="228"/>
      <c r="MT146" s="228"/>
      <c r="MU146" s="228"/>
      <c r="MV146" s="228"/>
      <c r="MW146" s="228"/>
      <c r="MX146" s="228"/>
      <c r="MY146" s="228"/>
      <c r="MZ146" s="228"/>
      <c r="NA146" s="228"/>
      <c r="NB146" s="228"/>
      <c r="NC146" s="228"/>
      <c r="ND146" s="228"/>
      <c r="NE146" s="228"/>
      <c r="NF146" s="228"/>
      <c r="NG146" s="228"/>
      <c r="NH146" s="228"/>
      <c r="NI146" s="228"/>
      <c r="NJ146" s="228"/>
      <c r="NK146" s="228"/>
      <c r="NL146" s="228"/>
      <c r="NM146" s="228"/>
      <c r="NN146" s="228"/>
      <c r="NO146" s="228"/>
      <c r="NP146" s="228"/>
      <c r="NQ146" s="228"/>
      <c r="NR146" s="228"/>
      <c r="NS146" s="228"/>
      <c r="NT146" s="228"/>
      <c r="NU146" s="228"/>
      <c r="NV146" s="228"/>
      <c r="NW146" s="228"/>
      <c r="NX146" s="228"/>
      <c r="NY146" s="228"/>
      <c r="NZ146" s="228"/>
      <c r="OA146" s="228"/>
      <c r="OB146" s="228"/>
      <c r="OC146" s="228"/>
      <c r="OD146" s="228"/>
      <c r="OE146" s="228"/>
      <c r="OF146" s="228"/>
      <c r="OG146" s="228"/>
      <c r="OH146" s="228"/>
      <c r="OI146" s="228"/>
      <c r="OJ146" s="228"/>
      <c r="OK146" s="228"/>
      <c r="OL146" s="228"/>
      <c r="OM146" s="228"/>
      <c r="ON146" s="228"/>
      <c r="OO146" s="228"/>
      <c r="OP146" s="228"/>
      <c r="OQ146" s="228"/>
      <c r="OR146" s="228"/>
      <c r="OS146" s="228"/>
      <c r="OT146" s="228"/>
      <c r="OU146" s="228"/>
      <c r="OV146" s="228"/>
      <c r="OW146" s="228"/>
      <c r="OX146" s="228"/>
      <c r="OY146" s="228"/>
      <c r="OZ146" s="228"/>
      <c r="PA146" s="228"/>
      <c r="PB146" s="228"/>
      <c r="PC146" s="228"/>
      <c r="PD146" s="228"/>
      <c r="PE146" s="228"/>
      <c r="PF146" s="228"/>
      <c r="PG146" s="228"/>
      <c r="PH146" s="228"/>
      <c r="PI146" s="228"/>
      <c r="PJ146" s="228"/>
      <c r="PK146" s="228"/>
      <c r="PL146" s="228"/>
      <c r="PM146" s="228"/>
      <c r="PN146" s="228"/>
      <c r="PO146" s="228"/>
      <c r="PP146" s="228"/>
      <c r="PQ146" s="228"/>
      <c r="PR146" s="228"/>
      <c r="PS146" s="228"/>
      <c r="PT146" s="228"/>
      <c r="PU146" s="228"/>
      <c r="PV146" s="228"/>
      <c r="PW146" s="228"/>
      <c r="PX146" s="228"/>
      <c r="PY146" s="228"/>
      <c r="PZ146" s="228"/>
      <c r="QA146" s="228"/>
      <c r="QB146" s="228"/>
      <c r="QC146" s="228"/>
      <c r="QD146" s="228"/>
      <c r="QE146" s="228"/>
      <c r="QF146" s="228"/>
      <c r="QG146" s="228"/>
      <c r="QH146" s="228"/>
      <c r="QI146" s="228"/>
      <c r="QJ146" s="228"/>
      <c r="QK146" s="228"/>
      <c r="QL146" s="228"/>
      <c r="QM146" s="228"/>
      <c r="QN146" s="228"/>
      <c r="QO146" s="228"/>
      <c r="QP146" s="228"/>
      <c r="QQ146" s="228"/>
      <c r="QR146" s="228"/>
      <c r="QS146" s="228"/>
      <c r="QT146" s="228"/>
      <c r="QU146" s="228"/>
      <c r="QV146" s="228"/>
      <c r="QW146" s="228"/>
      <c r="QX146" s="228"/>
      <c r="QY146" s="228"/>
      <c r="QZ146" s="228"/>
      <c r="RA146" s="228"/>
      <c r="RB146" s="228"/>
      <c r="RC146" s="228"/>
      <c r="RD146" s="228"/>
      <c r="RE146" s="228"/>
      <c r="RF146" s="228"/>
      <c r="RG146" s="228"/>
      <c r="RH146" s="228"/>
      <c r="RI146" s="228"/>
      <c r="RJ146" s="228"/>
      <c r="RK146" s="228"/>
      <c r="RL146" s="228"/>
      <c r="RM146" s="228"/>
      <c r="RN146" s="228"/>
      <c r="RO146" s="228"/>
      <c r="RP146" s="228"/>
      <c r="RQ146" s="228"/>
      <c r="RR146" s="228"/>
      <c r="RS146" s="228"/>
      <c r="RT146" s="228"/>
      <c r="RU146" s="228"/>
      <c r="RV146" s="228"/>
      <c r="RW146" s="228"/>
      <c r="RX146" s="228"/>
      <c r="RY146" s="228"/>
      <c r="RZ146" s="228"/>
      <c r="SA146" s="228"/>
      <c r="SB146" s="228"/>
      <c r="SC146" s="228"/>
      <c r="SD146" s="228"/>
      <c r="SE146" s="228"/>
      <c r="SF146" s="228"/>
      <c r="SG146" s="228"/>
      <c r="SH146" s="228"/>
      <c r="SI146" s="228"/>
      <c r="SJ146" s="228"/>
      <c r="SK146" s="228"/>
      <c r="SL146" s="228"/>
      <c r="SM146" s="228"/>
      <c r="SN146" s="228"/>
      <c r="SO146" s="228"/>
      <c r="SP146" s="228"/>
      <c r="SQ146" s="228"/>
      <c r="SR146" s="228"/>
      <c r="SS146" s="228"/>
      <c r="ST146" s="228"/>
      <c r="SU146" s="228"/>
      <c r="SV146" s="228"/>
      <c r="SW146" s="228"/>
      <c r="SX146" s="228"/>
      <c r="SY146" s="228"/>
      <c r="SZ146" s="228"/>
      <c r="TA146" s="228"/>
      <c r="TB146" s="228"/>
      <c r="TC146" s="228"/>
      <c r="TD146" s="228"/>
      <c r="TE146" s="228"/>
      <c r="TF146" s="228"/>
      <c r="TG146" s="228"/>
      <c r="TH146" s="228"/>
      <c r="TI146" s="228"/>
      <c r="TJ146" s="228"/>
      <c r="TK146" s="228"/>
      <c r="TL146" s="228"/>
      <c r="TM146" s="228"/>
      <c r="TN146" s="228"/>
      <c r="TO146" s="228"/>
      <c r="TP146" s="228"/>
      <c r="TQ146" s="228"/>
      <c r="TR146" s="228"/>
      <c r="TS146" s="228"/>
      <c r="TT146" s="228"/>
      <c r="TU146" s="228"/>
    </row>
    <row r="147" spans="1:541" s="268" customFormat="1" outlineLevel="1" x14ac:dyDescent="0.25">
      <c r="A147" s="232">
        <v>12</v>
      </c>
      <c r="B147" s="193" t="s">
        <v>1075</v>
      </c>
      <c r="C147" s="5" t="s">
        <v>801</v>
      </c>
      <c r="D147" s="5" t="s">
        <v>1076</v>
      </c>
      <c r="E147" s="5" t="s">
        <v>100</v>
      </c>
      <c r="F147" s="213" t="s">
        <v>0</v>
      </c>
      <c r="G147" s="213" t="s">
        <v>792</v>
      </c>
      <c r="H147" s="213" t="s">
        <v>1167</v>
      </c>
      <c r="I147" s="5"/>
      <c r="J147" s="5" t="s">
        <v>0</v>
      </c>
      <c r="K147" s="5" t="s">
        <v>487</v>
      </c>
      <c r="L147" s="5" t="s">
        <v>487</v>
      </c>
      <c r="M147" s="213" t="s">
        <v>487</v>
      </c>
      <c r="N147" s="5" t="s">
        <v>1159</v>
      </c>
      <c r="O147" s="5" t="s">
        <v>1160</v>
      </c>
      <c r="P147" s="5" t="s">
        <v>1156</v>
      </c>
      <c r="Q147" s="234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 s="228"/>
      <c r="AX147" s="228"/>
      <c r="AY147" s="228"/>
      <c r="AZ147" s="228"/>
      <c r="BA147" s="228"/>
      <c r="BB147" s="228"/>
      <c r="BC147" s="228"/>
      <c r="BD147" s="228"/>
      <c r="BE147" s="228"/>
      <c r="BF147" s="228"/>
      <c r="BG147" s="228"/>
      <c r="BH147" s="228"/>
      <c r="BI147" s="228"/>
      <c r="BJ147" s="228"/>
      <c r="BK147" s="228"/>
      <c r="BL147" s="228"/>
      <c r="BM147" s="228"/>
      <c r="BN147" s="228"/>
      <c r="BO147" s="228"/>
      <c r="BP147" s="228"/>
      <c r="BQ147" s="228"/>
      <c r="BR147" s="228"/>
      <c r="BS147" s="228"/>
      <c r="BT147" s="228"/>
      <c r="BU147" s="228"/>
      <c r="BV147" s="228"/>
      <c r="BW147" s="228"/>
      <c r="BX147" s="228"/>
      <c r="BY147" s="228"/>
      <c r="BZ147" s="228"/>
      <c r="CA147" s="228"/>
      <c r="CB147" s="228"/>
      <c r="CC147" s="228"/>
      <c r="CD147" s="228"/>
      <c r="CE147" s="228"/>
      <c r="CF147" s="228"/>
      <c r="CG147" s="228"/>
      <c r="CH147" s="228"/>
      <c r="CI147" s="228"/>
      <c r="CJ147" s="228"/>
      <c r="CK147" s="228"/>
      <c r="CL147" s="228"/>
      <c r="CM147" s="228"/>
      <c r="CN147" s="228"/>
      <c r="CO147" s="228"/>
      <c r="CP147" s="228"/>
      <c r="CQ147" s="228"/>
      <c r="CR147" s="228"/>
      <c r="CS147" s="228"/>
      <c r="CT147" s="228"/>
      <c r="CU147" s="228"/>
      <c r="CV147" s="228"/>
      <c r="CW147" s="228"/>
      <c r="CX147" s="228"/>
      <c r="CY147" s="228"/>
      <c r="CZ147" s="228"/>
      <c r="DA147" s="228"/>
      <c r="DB147" s="228"/>
      <c r="DC147" s="228"/>
      <c r="DD147" s="228"/>
      <c r="DE147" s="228"/>
      <c r="DF147" s="228"/>
      <c r="DG147" s="228"/>
      <c r="DH147" s="228"/>
      <c r="DI147" s="228"/>
      <c r="DJ147" s="228"/>
      <c r="DK147" s="228"/>
      <c r="DL147" s="228"/>
      <c r="DM147" s="228"/>
      <c r="DN147" s="228"/>
      <c r="DO147" s="228"/>
      <c r="DP147" s="228"/>
      <c r="DQ147" s="228"/>
      <c r="DR147" s="228"/>
      <c r="DS147" s="228"/>
      <c r="DT147" s="228"/>
      <c r="DU147" s="228"/>
      <c r="DV147" s="228"/>
      <c r="DW147" s="228"/>
      <c r="DX147" s="228"/>
      <c r="DY147" s="228"/>
      <c r="DZ147" s="228"/>
      <c r="EA147" s="228"/>
      <c r="EB147" s="228"/>
      <c r="EC147" s="228"/>
      <c r="ED147" s="228"/>
      <c r="EE147" s="228"/>
      <c r="EF147" s="228"/>
      <c r="EG147" s="228"/>
      <c r="EH147" s="228"/>
      <c r="EI147" s="228"/>
      <c r="EJ147" s="228"/>
      <c r="EK147" s="228"/>
      <c r="EL147" s="228"/>
      <c r="EM147" s="228"/>
      <c r="EN147" s="228"/>
      <c r="EO147" s="228"/>
      <c r="EP147" s="228"/>
      <c r="EQ147" s="228"/>
      <c r="ER147" s="228"/>
      <c r="ES147" s="228"/>
      <c r="ET147" s="228"/>
      <c r="EU147" s="228"/>
      <c r="EV147" s="228"/>
      <c r="EW147" s="228"/>
      <c r="EX147" s="228"/>
      <c r="EY147" s="228"/>
      <c r="EZ147" s="228"/>
      <c r="FA147" s="228"/>
      <c r="FB147" s="228"/>
      <c r="FC147" s="228"/>
      <c r="FD147" s="228"/>
      <c r="FE147" s="228"/>
      <c r="FF147" s="228"/>
      <c r="FG147" s="228"/>
      <c r="FH147" s="228"/>
      <c r="FI147" s="228"/>
      <c r="FJ147" s="228"/>
      <c r="FK147" s="228"/>
      <c r="FL147" s="228"/>
      <c r="FM147" s="228"/>
      <c r="FN147" s="228"/>
      <c r="FO147" s="228"/>
      <c r="FP147" s="228"/>
      <c r="FQ147" s="228"/>
      <c r="FR147" s="228"/>
      <c r="FS147" s="228"/>
      <c r="FT147" s="228"/>
      <c r="FU147" s="228"/>
      <c r="FV147" s="228"/>
      <c r="FW147" s="228"/>
      <c r="FX147" s="228"/>
      <c r="FY147" s="228"/>
      <c r="FZ147" s="228"/>
      <c r="GA147" s="228"/>
      <c r="GB147" s="228"/>
      <c r="GC147" s="228"/>
      <c r="GD147" s="228"/>
      <c r="GE147" s="228"/>
      <c r="GF147" s="228"/>
      <c r="GG147" s="228"/>
      <c r="GH147" s="228"/>
      <c r="GI147" s="228"/>
      <c r="GJ147" s="228"/>
      <c r="GK147" s="228"/>
      <c r="GL147" s="228"/>
      <c r="GM147" s="228"/>
      <c r="GN147" s="228"/>
      <c r="GO147" s="228"/>
      <c r="GP147" s="228"/>
      <c r="GQ147" s="228"/>
      <c r="GR147" s="228"/>
      <c r="GS147" s="228"/>
      <c r="GT147" s="228"/>
      <c r="GU147" s="228"/>
      <c r="GV147" s="228"/>
      <c r="GW147" s="228"/>
      <c r="GX147" s="228"/>
      <c r="GY147" s="228"/>
      <c r="GZ147" s="228"/>
      <c r="HA147" s="228"/>
      <c r="HB147" s="228"/>
      <c r="HC147" s="228"/>
      <c r="HD147" s="228"/>
      <c r="HE147" s="228"/>
      <c r="HF147" s="228"/>
      <c r="HG147" s="228"/>
      <c r="HH147" s="228"/>
      <c r="HI147" s="228"/>
      <c r="HJ147" s="228"/>
      <c r="HK147" s="228"/>
      <c r="HL147" s="228"/>
      <c r="HM147" s="228"/>
      <c r="HN147" s="228"/>
      <c r="HO147" s="228"/>
      <c r="HP147" s="228"/>
      <c r="HQ147" s="228"/>
      <c r="HR147" s="228"/>
      <c r="HS147" s="228"/>
      <c r="HT147" s="228"/>
      <c r="HU147" s="228"/>
      <c r="HV147" s="228"/>
      <c r="HW147" s="228"/>
      <c r="HX147" s="228"/>
      <c r="HY147" s="228"/>
      <c r="HZ147" s="228"/>
      <c r="IA147" s="228"/>
      <c r="IB147" s="228"/>
      <c r="IC147" s="228"/>
      <c r="ID147" s="228"/>
      <c r="IE147" s="228"/>
      <c r="IF147" s="228"/>
      <c r="IG147" s="228"/>
      <c r="IH147" s="228"/>
      <c r="II147" s="228"/>
      <c r="IJ147" s="228"/>
      <c r="IK147" s="228"/>
      <c r="IL147" s="228"/>
      <c r="IM147" s="228"/>
      <c r="IN147" s="228"/>
      <c r="IO147" s="228"/>
      <c r="IP147" s="228"/>
      <c r="IQ147" s="228"/>
      <c r="IR147" s="228"/>
      <c r="IS147" s="228"/>
      <c r="IT147" s="228"/>
      <c r="IU147" s="228"/>
      <c r="IV147" s="228"/>
      <c r="IW147" s="228"/>
      <c r="IX147" s="228"/>
      <c r="IY147" s="228"/>
      <c r="IZ147" s="228"/>
      <c r="JA147" s="228"/>
      <c r="JB147" s="228"/>
      <c r="JC147" s="228"/>
      <c r="JD147" s="228"/>
      <c r="JE147" s="228"/>
      <c r="JF147" s="228"/>
      <c r="JG147" s="228"/>
      <c r="JH147" s="228"/>
      <c r="JI147" s="228"/>
      <c r="JJ147" s="228"/>
      <c r="JK147" s="228"/>
      <c r="JL147" s="228"/>
      <c r="JM147" s="228"/>
      <c r="JN147" s="228"/>
      <c r="JO147" s="228"/>
      <c r="JP147" s="228"/>
      <c r="JQ147" s="228"/>
      <c r="JR147" s="228"/>
      <c r="JS147" s="228"/>
      <c r="JT147" s="228"/>
      <c r="JU147" s="228"/>
      <c r="JV147" s="228"/>
      <c r="JW147" s="228"/>
      <c r="JX147" s="228"/>
      <c r="JY147" s="228"/>
      <c r="JZ147" s="228"/>
      <c r="KA147" s="228"/>
      <c r="KB147" s="228"/>
      <c r="KC147" s="228"/>
      <c r="KD147" s="228"/>
      <c r="KE147" s="228"/>
      <c r="KF147" s="228"/>
      <c r="KG147" s="228"/>
      <c r="KH147" s="228"/>
      <c r="KI147" s="228"/>
      <c r="KJ147" s="228"/>
      <c r="KK147" s="228"/>
      <c r="KL147" s="228"/>
      <c r="KM147" s="228"/>
      <c r="KN147" s="228"/>
      <c r="KO147" s="228"/>
      <c r="KP147" s="228"/>
      <c r="KQ147" s="228"/>
      <c r="KR147" s="228"/>
      <c r="KS147" s="228"/>
      <c r="KT147" s="228"/>
      <c r="KU147" s="228"/>
      <c r="KV147" s="228"/>
      <c r="KW147" s="228"/>
      <c r="KX147" s="228"/>
      <c r="KY147" s="228"/>
      <c r="KZ147" s="228"/>
      <c r="LA147" s="228"/>
      <c r="LB147" s="228"/>
      <c r="LC147" s="228"/>
      <c r="LD147" s="228"/>
      <c r="LE147" s="228"/>
      <c r="LF147" s="228"/>
      <c r="LG147" s="228"/>
      <c r="LH147" s="228"/>
      <c r="LI147" s="228"/>
      <c r="LJ147" s="228"/>
      <c r="LK147" s="228"/>
      <c r="LL147" s="228"/>
      <c r="LM147" s="228"/>
      <c r="LN147" s="228"/>
      <c r="LO147" s="228"/>
      <c r="LP147" s="228"/>
      <c r="LQ147" s="228"/>
      <c r="LR147" s="228"/>
      <c r="LS147" s="228"/>
      <c r="LT147" s="228"/>
      <c r="LU147" s="228"/>
      <c r="LV147" s="228"/>
      <c r="LW147" s="228"/>
      <c r="LX147" s="228"/>
      <c r="LY147" s="228"/>
      <c r="LZ147" s="228"/>
      <c r="MA147" s="228"/>
      <c r="MB147" s="228"/>
      <c r="MC147" s="228"/>
      <c r="MD147" s="228"/>
      <c r="ME147" s="228"/>
      <c r="MF147" s="228"/>
      <c r="MG147" s="228"/>
      <c r="MH147" s="228"/>
      <c r="MI147" s="228"/>
      <c r="MJ147" s="228"/>
      <c r="MK147" s="228"/>
      <c r="ML147" s="228"/>
      <c r="MM147" s="228"/>
      <c r="MN147" s="228"/>
      <c r="MO147" s="228"/>
      <c r="MP147" s="228"/>
      <c r="MQ147" s="228"/>
      <c r="MR147" s="228"/>
      <c r="MS147" s="228"/>
      <c r="MT147" s="228"/>
      <c r="MU147" s="228"/>
      <c r="MV147" s="228"/>
      <c r="MW147" s="228"/>
      <c r="MX147" s="228"/>
      <c r="MY147" s="228"/>
      <c r="MZ147" s="228"/>
      <c r="NA147" s="228"/>
      <c r="NB147" s="228"/>
      <c r="NC147" s="228"/>
      <c r="ND147" s="228"/>
      <c r="NE147" s="228"/>
      <c r="NF147" s="228"/>
      <c r="NG147" s="228"/>
      <c r="NH147" s="228"/>
      <c r="NI147" s="228"/>
      <c r="NJ147" s="228"/>
      <c r="NK147" s="228"/>
      <c r="NL147" s="228"/>
      <c r="NM147" s="228"/>
      <c r="NN147" s="228"/>
      <c r="NO147" s="228"/>
      <c r="NP147" s="228"/>
      <c r="NQ147" s="228"/>
      <c r="NR147" s="228"/>
      <c r="NS147" s="228"/>
      <c r="NT147" s="228"/>
      <c r="NU147" s="228"/>
      <c r="NV147" s="228"/>
      <c r="NW147" s="228"/>
      <c r="NX147" s="228"/>
      <c r="NY147" s="228"/>
      <c r="NZ147" s="228"/>
      <c r="OA147" s="228"/>
      <c r="OB147" s="228"/>
      <c r="OC147" s="228"/>
      <c r="OD147" s="228"/>
      <c r="OE147" s="228"/>
      <c r="OF147" s="228"/>
      <c r="OG147" s="228"/>
      <c r="OH147" s="228"/>
      <c r="OI147" s="228"/>
      <c r="OJ147" s="228"/>
      <c r="OK147" s="228"/>
      <c r="OL147" s="228"/>
      <c r="OM147" s="228"/>
      <c r="ON147" s="228"/>
      <c r="OO147" s="228"/>
      <c r="OP147" s="228"/>
      <c r="OQ147" s="228"/>
      <c r="OR147" s="228"/>
      <c r="OS147" s="228"/>
      <c r="OT147" s="228"/>
      <c r="OU147" s="228"/>
      <c r="OV147" s="228"/>
      <c r="OW147" s="228"/>
      <c r="OX147" s="228"/>
      <c r="OY147" s="228"/>
      <c r="OZ147" s="228"/>
      <c r="PA147" s="228"/>
      <c r="PB147" s="228"/>
      <c r="PC147" s="228"/>
      <c r="PD147" s="228"/>
      <c r="PE147" s="228"/>
      <c r="PF147" s="228"/>
      <c r="PG147" s="228"/>
      <c r="PH147" s="228"/>
      <c r="PI147" s="228"/>
      <c r="PJ147" s="228"/>
      <c r="PK147" s="228"/>
      <c r="PL147" s="228"/>
      <c r="PM147" s="228"/>
      <c r="PN147" s="228"/>
      <c r="PO147" s="228"/>
      <c r="PP147" s="228"/>
      <c r="PQ147" s="228"/>
      <c r="PR147" s="228"/>
      <c r="PS147" s="228"/>
      <c r="PT147" s="228"/>
      <c r="PU147" s="228"/>
      <c r="PV147" s="228"/>
      <c r="PW147" s="228"/>
      <c r="PX147" s="228"/>
      <c r="PY147" s="228"/>
      <c r="PZ147" s="228"/>
      <c r="QA147" s="228"/>
      <c r="QB147" s="228"/>
      <c r="QC147" s="228"/>
      <c r="QD147" s="228"/>
      <c r="QE147" s="228"/>
      <c r="QF147" s="228"/>
      <c r="QG147" s="228"/>
      <c r="QH147" s="228"/>
      <c r="QI147" s="228"/>
      <c r="QJ147" s="228"/>
      <c r="QK147" s="228"/>
      <c r="QL147" s="228"/>
      <c r="QM147" s="228"/>
      <c r="QN147" s="228"/>
      <c r="QO147" s="228"/>
      <c r="QP147" s="228"/>
      <c r="QQ147" s="228"/>
      <c r="QR147" s="228"/>
      <c r="QS147" s="228"/>
      <c r="QT147" s="228"/>
      <c r="QU147" s="228"/>
      <c r="QV147" s="228"/>
      <c r="QW147" s="228"/>
      <c r="QX147" s="228"/>
      <c r="QY147" s="228"/>
      <c r="QZ147" s="228"/>
      <c r="RA147" s="228"/>
      <c r="RB147" s="228"/>
      <c r="RC147" s="228"/>
      <c r="RD147" s="228"/>
      <c r="RE147" s="228"/>
      <c r="RF147" s="228"/>
      <c r="RG147" s="228"/>
      <c r="RH147" s="228"/>
      <c r="RI147" s="228"/>
      <c r="RJ147" s="228"/>
      <c r="RK147" s="228"/>
      <c r="RL147" s="228"/>
      <c r="RM147" s="228"/>
      <c r="RN147" s="228"/>
      <c r="RO147" s="228"/>
      <c r="RP147" s="228"/>
      <c r="RQ147" s="228"/>
      <c r="RR147" s="228"/>
      <c r="RS147" s="228"/>
      <c r="RT147" s="228"/>
      <c r="RU147" s="228"/>
      <c r="RV147" s="228"/>
      <c r="RW147" s="228"/>
      <c r="RX147" s="228"/>
      <c r="RY147" s="228"/>
      <c r="RZ147" s="228"/>
      <c r="SA147" s="228"/>
      <c r="SB147" s="228"/>
      <c r="SC147" s="228"/>
      <c r="SD147" s="228"/>
      <c r="SE147" s="228"/>
      <c r="SF147" s="228"/>
      <c r="SG147" s="228"/>
      <c r="SH147" s="228"/>
      <c r="SI147" s="228"/>
      <c r="SJ147" s="228"/>
      <c r="SK147" s="228"/>
      <c r="SL147" s="228"/>
      <c r="SM147" s="228"/>
      <c r="SN147" s="228"/>
      <c r="SO147" s="228"/>
      <c r="SP147" s="228"/>
      <c r="SQ147" s="228"/>
      <c r="SR147" s="228"/>
      <c r="SS147" s="228"/>
      <c r="ST147" s="228"/>
      <c r="SU147" s="228"/>
      <c r="SV147" s="228"/>
      <c r="SW147" s="228"/>
      <c r="SX147" s="228"/>
      <c r="SY147" s="228"/>
      <c r="SZ147" s="228"/>
      <c r="TA147" s="228"/>
      <c r="TB147" s="228"/>
      <c r="TC147" s="228"/>
      <c r="TD147" s="228"/>
      <c r="TE147" s="228"/>
      <c r="TF147" s="228"/>
      <c r="TG147" s="228"/>
      <c r="TH147" s="228"/>
      <c r="TI147" s="228"/>
      <c r="TJ147" s="228"/>
      <c r="TK147" s="228"/>
      <c r="TL147" s="228"/>
      <c r="TM147" s="228"/>
      <c r="TN147" s="228"/>
      <c r="TO147" s="228"/>
      <c r="TP147" s="228"/>
      <c r="TQ147" s="228"/>
      <c r="TR147" s="228"/>
      <c r="TS147" s="228"/>
      <c r="TT147" s="228"/>
      <c r="TU147" s="228"/>
    </row>
    <row r="148" spans="1:541" s="268" customFormat="1" outlineLevel="1" x14ac:dyDescent="0.25">
      <c r="A148" s="232">
        <v>13</v>
      </c>
      <c r="B148" s="193" t="s">
        <v>1075</v>
      </c>
      <c r="C148" s="5" t="s">
        <v>668</v>
      </c>
      <c r="D148" s="5" t="s">
        <v>1077</v>
      </c>
      <c r="E148" s="5" t="s">
        <v>100</v>
      </c>
      <c r="F148" s="213" t="s">
        <v>0</v>
      </c>
      <c r="G148" s="213" t="s">
        <v>792</v>
      </c>
      <c r="H148" s="213" t="s">
        <v>1167</v>
      </c>
      <c r="I148" s="5"/>
      <c r="J148" s="5" t="s">
        <v>0</v>
      </c>
      <c r="K148" s="5" t="s">
        <v>487</v>
      </c>
      <c r="L148" s="5" t="s">
        <v>487</v>
      </c>
      <c r="M148" s="213" t="s">
        <v>487</v>
      </c>
      <c r="N148" s="5" t="s">
        <v>1159</v>
      </c>
      <c r="O148" s="5" t="s">
        <v>1160</v>
      </c>
      <c r="P148" s="5" t="s">
        <v>1156</v>
      </c>
      <c r="Q148" s="234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 s="228"/>
      <c r="AX148" s="228"/>
      <c r="AY148" s="228"/>
      <c r="AZ148" s="228"/>
      <c r="BA148" s="228"/>
      <c r="BB148" s="228"/>
      <c r="BC148" s="228"/>
      <c r="BD148" s="228"/>
      <c r="BE148" s="228"/>
      <c r="BF148" s="228"/>
      <c r="BG148" s="228"/>
      <c r="BH148" s="228"/>
      <c r="BI148" s="228"/>
      <c r="BJ148" s="228"/>
      <c r="BK148" s="228"/>
      <c r="BL148" s="228"/>
      <c r="BM148" s="228"/>
      <c r="BN148" s="228"/>
      <c r="BO148" s="228"/>
      <c r="BP148" s="228"/>
      <c r="BQ148" s="228"/>
      <c r="BR148" s="228"/>
      <c r="BS148" s="228"/>
      <c r="BT148" s="228"/>
      <c r="BU148" s="228"/>
      <c r="BV148" s="228"/>
      <c r="BW148" s="228"/>
      <c r="BX148" s="228"/>
      <c r="BY148" s="228"/>
      <c r="BZ148" s="228"/>
      <c r="CA148" s="228"/>
      <c r="CB148" s="228"/>
      <c r="CC148" s="228"/>
      <c r="CD148" s="228"/>
      <c r="CE148" s="228"/>
      <c r="CF148" s="228"/>
      <c r="CG148" s="228"/>
      <c r="CH148" s="228"/>
      <c r="CI148" s="228"/>
      <c r="CJ148" s="228"/>
      <c r="CK148" s="228"/>
      <c r="CL148" s="228"/>
      <c r="CM148" s="228"/>
      <c r="CN148" s="228"/>
      <c r="CO148" s="228"/>
      <c r="CP148" s="228"/>
      <c r="CQ148" s="228"/>
      <c r="CR148" s="228"/>
      <c r="CS148" s="228"/>
      <c r="CT148" s="228"/>
      <c r="CU148" s="228"/>
      <c r="CV148" s="228"/>
      <c r="CW148" s="228"/>
      <c r="CX148" s="228"/>
      <c r="CY148" s="228"/>
      <c r="CZ148" s="228"/>
      <c r="DA148" s="228"/>
      <c r="DB148" s="228"/>
      <c r="DC148" s="228"/>
      <c r="DD148" s="228"/>
      <c r="DE148" s="228"/>
      <c r="DF148" s="228"/>
      <c r="DG148" s="228"/>
      <c r="DH148" s="228"/>
      <c r="DI148" s="228"/>
      <c r="DJ148" s="228"/>
      <c r="DK148" s="228"/>
      <c r="DL148" s="228"/>
      <c r="DM148" s="228"/>
      <c r="DN148" s="228"/>
      <c r="DO148" s="228"/>
      <c r="DP148" s="228"/>
      <c r="DQ148" s="228"/>
      <c r="DR148" s="228"/>
      <c r="DS148" s="228"/>
      <c r="DT148" s="228"/>
      <c r="DU148" s="228"/>
      <c r="DV148" s="228"/>
      <c r="DW148" s="228"/>
      <c r="DX148" s="228"/>
      <c r="DY148" s="228"/>
      <c r="DZ148" s="228"/>
      <c r="EA148" s="228"/>
      <c r="EB148" s="228"/>
      <c r="EC148" s="228"/>
      <c r="ED148" s="228"/>
      <c r="EE148" s="228"/>
      <c r="EF148" s="228"/>
      <c r="EG148" s="228"/>
      <c r="EH148" s="228"/>
      <c r="EI148" s="228"/>
      <c r="EJ148" s="228"/>
      <c r="EK148" s="228"/>
      <c r="EL148" s="228"/>
      <c r="EM148" s="228"/>
      <c r="EN148" s="228"/>
      <c r="EO148" s="228"/>
      <c r="EP148" s="228"/>
      <c r="EQ148" s="228"/>
      <c r="ER148" s="228"/>
      <c r="ES148" s="228"/>
      <c r="ET148" s="228"/>
      <c r="EU148" s="228"/>
      <c r="EV148" s="228"/>
      <c r="EW148" s="228"/>
      <c r="EX148" s="228"/>
      <c r="EY148" s="228"/>
      <c r="EZ148" s="228"/>
      <c r="FA148" s="228"/>
      <c r="FB148" s="228"/>
      <c r="FC148" s="228"/>
      <c r="FD148" s="228"/>
      <c r="FE148" s="228"/>
      <c r="FF148" s="228"/>
      <c r="FG148" s="228"/>
      <c r="FH148" s="228"/>
      <c r="FI148" s="228"/>
      <c r="FJ148" s="228"/>
      <c r="FK148" s="228"/>
      <c r="FL148" s="228"/>
      <c r="FM148" s="228"/>
      <c r="FN148" s="228"/>
      <c r="FO148" s="228"/>
      <c r="FP148" s="228"/>
      <c r="FQ148" s="228"/>
      <c r="FR148" s="228"/>
      <c r="FS148" s="228"/>
      <c r="FT148" s="228"/>
      <c r="FU148" s="228"/>
      <c r="FV148" s="228"/>
      <c r="FW148" s="228"/>
      <c r="FX148" s="228"/>
      <c r="FY148" s="228"/>
      <c r="FZ148" s="228"/>
      <c r="GA148" s="228"/>
      <c r="GB148" s="228"/>
      <c r="GC148" s="228"/>
      <c r="GD148" s="228"/>
      <c r="GE148" s="228"/>
      <c r="GF148" s="228"/>
      <c r="GG148" s="228"/>
      <c r="GH148" s="228"/>
      <c r="GI148" s="228"/>
      <c r="GJ148" s="228"/>
      <c r="GK148" s="228"/>
      <c r="GL148" s="228"/>
      <c r="GM148" s="228"/>
      <c r="GN148" s="228"/>
      <c r="GO148" s="228"/>
      <c r="GP148" s="228"/>
      <c r="GQ148" s="228"/>
      <c r="GR148" s="228"/>
      <c r="GS148" s="228"/>
      <c r="GT148" s="228"/>
      <c r="GU148" s="228"/>
      <c r="GV148" s="228"/>
      <c r="GW148" s="228"/>
      <c r="GX148" s="228"/>
      <c r="GY148" s="228"/>
      <c r="GZ148" s="228"/>
      <c r="HA148" s="228"/>
      <c r="HB148" s="228"/>
      <c r="HC148" s="228"/>
      <c r="HD148" s="228"/>
      <c r="HE148" s="228"/>
      <c r="HF148" s="228"/>
      <c r="HG148" s="228"/>
      <c r="HH148" s="228"/>
      <c r="HI148" s="228"/>
      <c r="HJ148" s="228"/>
      <c r="HK148" s="228"/>
      <c r="HL148" s="228"/>
      <c r="HM148" s="228"/>
      <c r="HN148" s="228"/>
      <c r="HO148" s="228"/>
      <c r="HP148" s="228"/>
      <c r="HQ148" s="228"/>
      <c r="HR148" s="228"/>
      <c r="HS148" s="228"/>
      <c r="HT148" s="228"/>
      <c r="HU148" s="228"/>
      <c r="HV148" s="228"/>
      <c r="HW148" s="228"/>
      <c r="HX148" s="228"/>
      <c r="HY148" s="228"/>
      <c r="HZ148" s="228"/>
      <c r="IA148" s="228"/>
      <c r="IB148" s="228"/>
      <c r="IC148" s="228"/>
      <c r="ID148" s="228"/>
      <c r="IE148" s="228"/>
      <c r="IF148" s="228"/>
      <c r="IG148" s="228"/>
      <c r="IH148" s="228"/>
      <c r="II148" s="228"/>
      <c r="IJ148" s="228"/>
      <c r="IK148" s="228"/>
      <c r="IL148" s="228"/>
      <c r="IM148" s="228"/>
      <c r="IN148" s="228"/>
      <c r="IO148" s="228"/>
      <c r="IP148" s="228"/>
      <c r="IQ148" s="228"/>
      <c r="IR148" s="228"/>
      <c r="IS148" s="228"/>
      <c r="IT148" s="228"/>
      <c r="IU148" s="228"/>
      <c r="IV148" s="228"/>
      <c r="IW148" s="228"/>
      <c r="IX148" s="228"/>
      <c r="IY148" s="228"/>
      <c r="IZ148" s="228"/>
      <c r="JA148" s="228"/>
      <c r="JB148" s="228"/>
      <c r="JC148" s="228"/>
      <c r="JD148" s="228"/>
      <c r="JE148" s="228"/>
      <c r="JF148" s="228"/>
      <c r="JG148" s="228"/>
      <c r="JH148" s="228"/>
      <c r="JI148" s="228"/>
      <c r="JJ148" s="228"/>
      <c r="JK148" s="228"/>
      <c r="JL148" s="228"/>
      <c r="JM148" s="228"/>
      <c r="JN148" s="228"/>
      <c r="JO148" s="228"/>
      <c r="JP148" s="228"/>
      <c r="JQ148" s="228"/>
      <c r="JR148" s="228"/>
      <c r="JS148" s="228"/>
      <c r="JT148" s="228"/>
      <c r="JU148" s="228"/>
      <c r="JV148" s="228"/>
      <c r="JW148" s="228"/>
      <c r="JX148" s="228"/>
      <c r="JY148" s="228"/>
      <c r="JZ148" s="228"/>
      <c r="KA148" s="228"/>
      <c r="KB148" s="228"/>
      <c r="KC148" s="228"/>
      <c r="KD148" s="228"/>
      <c r="KE148" s="228"/>
      <c r="KF148" s="228"/>
      <c r="KG148" s="228"/>
      <c r="KH148" s="228"/>
      <c r="KI148" s="228"/>
      <c r="KJ148" s="228"/>
      <c r="KK148" s="228"/>
      <c r="KL148" s="228"/>
      <c r="KM148" s="228"/>
      <c r="KN148" s="228"/>
      <c r="KO148" s="228"/>
      <c r="KP148" s="228"/>
      <c r="KQ148" s="228"/>
      <c r="KR148" s="228"/>
      <c r="KS148" s="228"/>
      <c r="KT148" s="228"/>
      <c r="KU148" s="228"/>
      <c r="KV148" s="228"/>
      <c r="KW148" s="228"/>
      <c r="KX148" s="228"/>
      <c r="KY148" s="228"/>
      <c r="KZ148" s="228"/>
      <c r="LA148" s="228"/>
      <c r="LB148" s="228"/>
      <c r="LC148" s="228"/>
      <c r="LD148" s="228"/>
      <c r="LE148" s="228"/>
      <c r="LF148" s="228"/>
      <c r="LG148" s="228"/>
      <c r="LH148" s="228"/>
      <c r="LI148" s="228"/>
      <c r="LJ148" s="228"/>
      <c r="LK148" s="228"/>
      <c r="LL148" s="228"/>
      <c r="LM148" s="228"/>
      <c r="LN148" s="228"/>
      <c r="LO148" s="228"/>
      <c r="LP148" s="228"/>
      <c r="LQ148" s="228"/>
      <c r="LR148" s="228"/>
      <c r="LS148" s="228"/>
      <c r="LT148" s="228"/>
      <c r="LU148" s="228"/>
      <c r="LV148" s="228"/>
      <c r="LW148" s="228"/>
      <c r="LX148" s="228"/>
      <c r="LY148" s="228"/>
      <c r="LZ148" s="228"/>
      <c r="MA148" s="228"/>
      <c r="MB148" s="228"/>
      <c r="MC148" s="228"/>
      <c r="MD148" s="228"/>
      <c r="ME148" s="228"/>
      <c r="MF148" s="228"/>
      <c r="MG148" s="228"/>
      <c r="MH148" s="228"/>
      <c r="MI148" s="228"/>
      <c r="MJ148" s="228"/>
      <c r="MK148" s="228"/>
      <c r="ML148" s="228"/>
      <c r="MM148" s="228"/>
      <c r="MN148" s="228"/>
      <c r="MO148" s="228"/>
      <c r="MP148" s="228"/>
      <c r="MQ148" s="228"/>
      <c r="MR148" s="228"/>
      <c r="MS148" s="228"/>
      <c r="MT148" s="228"/>
      <c r="MU148" s="228"/>
      <c r="MV148" s="228"/>
      <c r="MW148" s="228"/>
      <c r="MX148" s="228"/>
      <c r="MY148" s="228"/>
      <c r="MZ148" s="228"/>
      <c r="NA148" s="228"/>
      <c r="NB148" s="228"/>
      <c r="NC148" s="228"/>
      <c r="ND148" s="228"/>
      <c r="NE148" s="228"/>
      <c r="NF148" s="228"/>
      <c r="NG148" s="228"/>
      <c r="NH148" s="228"/>
      <c r="NI148" s="228"/>
      <c r="NJ148" s="228"/>
      <c r="NK148" s="228"/>
      <c r="NL148" s="228"/>
      <c r="NM148" s="228"/>
      <c r="NN148" s="228"/>
      <c r="NO148" s="228"/>
      <c r="NP148" s="228"/>
      <c r="NQ148" s="228"/>
      <c r="NR148" s="228"/>
      <c r="NS148" s="228"/>
      <c r="NT148" s="228"/>
      <c r="NU148" s="228"/>
      <c r="NV148" s="228"/>
      <c r="NW148" s="228"/>
      <c r="NX148" s="228"/>
      <c r="NY148" s="228"/>
      <c r="NZ148" s="228"/>
      <c r="OA148" s="228"/>
      <c r="OB148" s="228"/>
      <c r="OC148" s="228"/>
      <c r="OD148" s="228"/>
      <c r="OE148" s="228"/>
      <c r="OF148" s="228"/>
      <c r="OG148" s="228"/>
      <c r="OH148" s="228"/>
      <c r="OI148" s="228"/>
      <c r="OJ148" s="228"/>
      <c r="OK148" s="228"/>
      <c r="OL148" s="228"/>
      <c r="OM148" s="228"/>
      <c r="ON148" s="228"/>
      <c r="OO148" s="228"/>
      <c r="OP148" s="228"/>
      <c r="OQ148" s="228"/>
      <c r="OR148" s="228"/>
      <c r="OS148" s="228"/>
      <c r="OT148" s="228"/>
      <c r="OU148" s="228"/>
      <c r="OV148" s="228"/>
      <c r="OW148" s="228"/>
      <c r="OX148" s="228"/>
      <c r="OY148" s="228"/>
      <c r="OZ148" s="228"/>
      <c r="PA148" s="228"/>
      <c r="PB148" s="228"/>
      <c r="PC148" s="228"/>
      <c r="PD148" s="228"/>
      <c r="PE148" s="228"/>
      <c r="PF148" s="228"/>
      <c r="PG148" s="228"/>
      <c r="PH148" s="228"/>
      <c r="PI148" s="228"/>
      <c r="PJ148" s="228"/>
      <c r="PK148" s="228"/>
      <c r="PL148" s="228"/>
      <c r="PM148" s="228"/>
      <c r="PN148" s="228"/>
      <c r="PO148" s="228"/>
      <c r="PP148" s="228"/>
      <c r="PQ148" s="228"/>
      <c r="PR148" s="228"/>
      <c r="PS148" s="228"/>
      <c r="PT148" s="228"/>
      <c r="PU148" s="228"/>
      <c r="PV148" s="228"/>
      <c r="PW148" s="228"/>
      <c r="PX148" s="228"/>
      <c r="PY148" s="228"/>
      <c r="PZ148" s="228"/>
      <c r="QA148" s="228"/>
      <c r="QB148" s="228"/>
      <c r="QC148" s="228"/>
      <c r="QD148" s="228"/>
      <c r="QE148" s="228"/>
      <c r="QF148" s="228"/>
      <c r="QG148" s="228"/>
      <c r="QH148" s="228"/>
      <c r="QI148" s="228"/>
      <c r="QJ148" s="228"/>
      <c r="QK148" s="228"/>
      <c r="QL148" s="228"/>
      <c r="QM148" s="228"/>
      <c r="QN148" s="228"/>
      <c r="QO148" s="228"/>
      <c r="QP148" s="228"/>
      <c r="QQ148" s="228"/>
      <c r="QR148" s="228"/>
      <c r="QS148" s="228"/>
      <c r="QT148" s="228"/>
      <c r="QU148" s="228"/>
      <c r="QV148" s="228"/>
      <c r="QW148" s="228"/>
      <c r="QX148" s="228"/>
      <c r="QY148" s="228"/>
      <c r="QZ148" s="228"/>
      <c r="RA148" s="228"/>
      <c r="RB148" s="228"/>
      <c r="RC148" s="228"/>
      <c r="RD148" s="228"/>
      <c r="RE148" s="228"/>
      <c r="RF148" s="228"/>
      <c r="RG148" s="228"/>
      <c r="RH148" s="228"/>
      <c r="RI148" s="228"/>
      <c r="RJ148" s="228"/>
      <c r="RK148" s="228"/>
      <c r="RL148" s="228"/>
      <c r="RM148" s="228"/>
      <c r="RN148" s="228"/>
      <c r="RO148" s="228"/>
      <c r="RP148" s="228"/>
      <c r="RQ148" s="228"/>
      <c r="RR148" s="228"/>
      <c r="RS148" s="228"/>
      <c r="RT148" s="228"/>
      <c r="RU148" s="228"/>
      <c r="RV148" s="228"/>
      <c r="RW148" s="228"/>
      <c r="RX148" s="228"/>
      <c r="RY148" s="228"/>
      <c r="RZ148" s="228"/>
      <c r="SA148" s="228"/>
      <c r="SB148" s="228"/>
      <c r="SC148" s="228"/>
      <c r="SD148" s="228"/>
      <c r="SE148" s="228"/>
      <c r="SF148" s="228"/>
      <c r="SG148" s="228"/>
      <c r="SH148" s="228"/>
      <c r="SI148" s="228"/>
      <c r="SJ148" s="228"/>
      <c r="SK148" s="228"/>
      <c r="SL148" s="228"/>
      <c r="SM148" s="228"/>
      <c r="SN148" s="228"/>
      <c r="SO148" s="228"/>
      <c r="SP148" s="228"/>
      <c r="SQ148" s="228"/>
      <c r="SR148" s="228"/>
      <c r="SS148" s="228"/>
      <c r="ST148" s="228"/>
      <c r="SU148" s="228"/>
      <c r="SV148" s="228"/>
      <c r="SW148" s="228"/>
      <c r="SX148" s="228"/>
      <c r="SY148" s="228"/>
      <c r="SZ148" s="228"/>
      <c r="TA148" s="228"/>
      <c r="TB148" s="228"/>
      <c r="TC148" s="228"/>
      <c r="TD148" s="228"/>
      <c r="TE148" s="228"/>
      <c r="TF148" s="228"/>
      <c r="TG148" s="228"/>
      <c r="TH148" s="228"/>
      <c r="TI148" s="228"/>
      <c r="TJ148" s="228"/>
      <c r="TK148" s="228"/>
      <c r="TL148" s="228"/>
      <c r="TM148" s="228"/>
      <c r="TN148" s="228"/>
      <c r="TO148" s="228"/>
      <c r="TP148" s="228"/>
      <c r="TQ148" s="228"/>
      <c r="TR148" s="228"/>
      <c r="TS148" s="228"/>
      <c r="TT148" s="228"/>
      <c r="TU148" s="228"/>
    </row>
    <row r="149" spans="1:541" s="268" customFormat="1" outlineLevel="1" x14ac:dyDescent="0.25">
      <c r="A149" s="232">
        <v>14</v>
      </c>
      <c r="B149" s="193" t="s">
        <v>1075</v>
      </c>
      <c r="C149" s="5" t="s">
        <v>668</v>
      </c>
      <c r="D149" s="5" t="s">
        <v>819</v>
      </c>
      <c r="E149" s="5" t="s">
        <v>100</v>
      </c>
      <c r="F149" s="213" t="s">
        <v>804</v>
      </c>
      <c r="G149" s="271"/>
      <c r="H149" s="213" t="s">
        <v>1167</v>
      </c>
      <c r="I149" s="5"/>
      <c r="J149" s="5" t="s">
        <v>820</v>
      </c>
      <c r="K149" s="5" t="s">
        <v>487</v>
      </c>
      <c r="L149" s="5" t="s">
        <v>487</v>
      </c>
      <c r="M149" s="213" t="s">
        <v>487</v>
      </c>
      <c r="N149" s="213" t="s">
        <v>1156</v>
      </c>
      <c r="O149" s="213" t="s">
        <v>1157</v>
      </c>
      <c r="P149" s="5" t="s">
        <v>1158</v>
      </c>
      <c r="Q149" s="234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 s="228"/>
      <c r="AX149" s="228"/>
      <c r="AY149" s="228"/>
      <c r="AZ149" s="228"/>
      <c r="BA149" s="228"/>
      <c r="BB149" s="228"/>
      <c r="BC149" s="228"/>
      <c r="BD149" s="228"/>
      <c r="BE149" s="228"/>
      <c r="BF149" s="228"/>
      <c r="BG149" s="228"/>
      <c r="BH149" s="228"/>
      <c r="BI149" s="228"/>
      <c r="BJ149" s="228"/>
      <c r="BK149" s="228"/>
      <c r="BL149" s="228"/>
      <c r="BM149" s="228"/>
      <c r="BN149" s="228"/>
      <c r="BO149" s="228"/>
      <c r="BP149" s="228"/>
      <c r="BQ149" s="228"/>
      <c r="BR149" s="228"/>
      <c r="BS149" s="228"/>
      <c r="BT149" s="228"/>
      <c r="BU149" s="228"/>
      <c r="BV149" s="228"/>
      <c r="BW149" s="228"/>
      <c r="BX149" s="228"/>
      <c r="BY149" s="228"/>
      <c r="BZ149" s="228"/>
      <c r="CA149" s="228"/>
      <c r="CB149" s="228"/>
      <c r="CC149" s="228"/>
      <c r="CD149" s="228"/>
      <c r="CE149" s="228"/>
      <c r="CF149" s="228"/>
      <c r="CG149" s="228"/>
      <c r="CH149" s="228"/>
      <c r="CI149" s="228"/>
      <c r="CJ149" s="228"/>
      <c r="CK149" s="228"/>
      <c r="CL149" s="228"/>
      <c r="CM149" s="228"/>
      <c r="CN149" s="228"/>
      <c r="CO149" s="228"/>
      <c r="CP149" s="228"/>
      <c r="CQ149" s="228"/>
      <c r="CR149" s="228"/>
      <c r="CS149" s="228"/>
      <c r="CT149" s="228"/>
      <c r="CU149" s="228"/>
      <c r="CV149" s="228"/>
      <c r="CW149" s="228"/>
      <c r="CX149" s="228"/>
      <c r="CY149" s="228"/>
      <c r="CZ149" s="228"/>
      <c r="DA149" s="228"/>
      <c r="DB149" s="228"/>
      <c r="DC149" s="228"/>
      <c r="DD149" s="228"/>
      <c r="DE149" s="228"/>
      <c r="DF149" s="228"/>
      <c r="DG149" s="228"/>
      <c r="DH149" s="228"/>
      <c r="DI149" s="228"/>
      <c r="DJ149" s="228"/>
      <c r="DK149" s="228"/>
      <c r="DL149" s="228"/>
      <c r="DM149" s="228"/>
      <c r="DN149" s="228"/>
      <c r="DO149" s="228"/>
      <c r="DP149" s="228"/>
      <c r="DQ149" s="228"/>
      <c r="DR149" s="228"/>
      <c r="DS149" s="228"/>
      <c r="DT149" s="228"/>
      <c r="DU149" s="228"/>
      <c r="DV149" s="228"/>
      <c r="DW149" s="228"/>
      <c r="DX149" s="228"/>
      <c r="DY149" s="228"/>
      <c r="DZ149" s="228"/>
      <c r="EA149" s="228"/>
      <c r="EB149" s="228"/>
      <c r="EC149" s="228"/>
      <c r="ED149" s="228"/>
      <c r="EE149" s="228"/>
      <c r="EF149" s="228"/>
      <c r="EG149" s="228"/>
      <c r="EH149" s="228"/>
      <c r="EI149" s="228"/>
      <c r="EJ149" s="228"/>
      <c r="EK149" s="228"/>
      <c r="EL149" s="228"/>
      <c r="EM149" s="228"/>
      <c r="EN149" s="228"/>
      <c r="EO149" s="228"/>
      <c r="EP149" s="228"/>
      <c r="EQ149" s="228"/>
      <c r="ER149" s="228"/>
      <c r="ES149" s="228"/>
      <c r="ET149" s="228"/>
      <c r="EU149" s="228"/>
      <c r="EV149" s="228"/>
      <c r="EW149" s="228"/>
      <c r="EX149" s="228"/>
      <c r="EY149" s="228"/>
      <c r="EZ149" s="228"/>
      <c r="FA149" s="228"/>
      <c r="FB149" s="228"/>
      <c r="FC149" s="228"/>
      <c r="FD149" s="228"/>
      <c r="FE149" s="228"/>
      <c r="FF149" s="228"/>
      <c r="FG149" s="228"/>
      <c r="FH149" s="228"/>
      <c r="FI149" s="228"/>
      <c r="FJ149" s="228"/>
      <c r="FK149" s="228"/>
      <c r="FL149" s="228"/>
      <c r="FM149" s="228"/>
      <c r="FN149" s="228"/>
      <c r="FO149" s="228"/>
      <c r="FP149" s="228"/>
      <c r="FQ149" s="228"/>
      <c r="FR149" s="228"/>
      <c r="FS149" s="228"/>
      <c r="FT149" s="228"/>
      <c r="FU149" s="228"/>
      <c r="FV149" s="228"/>
      <c r="FW149" s="228"/>
      <c r="FX149" s="228"/>
      <c r="FY149" s="228"/>
      <c r="FZ149" s="228"/>
      <c r="GA149" s="228"/>
      <c r="GB149" s="228"/>
      <c r="GC149" s="228"/>
      <c r="GD149" s="228"/>
      <c r="GE149" s="228"/>
      <c r="GF149" s="228"/>
      <c r="GG149" s="228"/>
      <c r="GH149" s="228"/>
      <c r="GI149" s="228"/>
      <c r="GJ149" s="228"/>
      <c r="GK149" s="228"/>
      <c r="GL149" s="228"/>
      <c r="GM149" s="228"/>
      <c r="GN149" s="228"/>
      <c r="GO149" s="228"/>
      <c r="GP149" s="228"/>
      <c r="GQ149" s="228"/>
      <c r="GR149" s="228"/>
      <c r="GS149" s="228"/>
      <c r="GT149" s="228"/>
      <c r="GU149" s="228"/>
      <c r="GV149" s="228"/>
      <c r="GW149" s="228"/>
      <c r="GX149" s="228"/>
      <c r="GY149" s="228"/>
      <c r="GZ149" s="228"/>
      <c r="HA149" s="228"/>
      <c r="HB149" s="228"/>
      <c r="HC149" s="228"/>
      <c r="HD149" s="228"/>
      <c r="HE149" s="228"/>
      <c r="HF149" s="228"/>
      <c r="HG149" s="228"/>
      <c r="HH149" s="228"/>
      <c r="HI149" s="228"/>
      <c r="HJ149" s="228"/>
      <c r="HK149" s="228"/>
      <c r="HL149" s="228"/>
      <c r="HM149" s="228"/>
      <c r="HN149" s="228"/>
      <c r="HO149" s="228"/>
      <c r="HP149" s="228"/>
      <c r="HQ149" s="228"/>
      <c r="HR149" s="228"/>
      <c r="HS149" s="228"/>
      <c r="HT149" s="228"/>
      <c r="HU149" s="228"/>
      <c r="HV149" s="228"/>
      <c r="HW149" s="228"/>
      <c r="HX149" s="228"/>
      <c r="HY149" s="228"/>
      <c r="HZ149" s="228"/>
      <c r="IA149" s="228"/>
      <c r="IB149" s="228"/>
      <c r="IC149" s="228"/>
      <c r="ID149" s="228"/>
      <c r="IE149" s="228"/>
      <c r="IF149" s="228"/>
      <c r="IG149" s="228"/>
      <c r="IH149" s="228"/>
      <c r="II149" s="228"/>
      <c r="IJ149" s="228"/>
      <c r="IK149" s="228"/>
      <c r="IL149" s="228"/>
      <c r="IM149" s="228"/>
      <c r="IN149" s="228"/>
      <c r="IO149" s="228"/>
      <c r="IP149" s="228"/>
      <c r="IQ149" s="228"/>
      <c r="IR149" s="228"/>
      <c r="IS149" s="228"/>
      <c r="IT149" s="228"/>
      <c r="IU149" s="228"/>
      <c r="IV149" s="228"/>
      <c r="IW149" s="228"/>
      <c r="IX149" s="228"/>
      <c r="IY149" s="228"/>
      <c r="IZ149" s="228"/>
      <c r="JA149" s="228"/>
      <c r="JB149" s="228"/>
      <c r="JC149" s="228"/>
      <c r="JD149" s="228"/>
      <c r="JE149" s="228"/>
      <c r="JF149" s="228"/>
      <c r="JG149" s="228"/>
      <c r="JH149" s="228"/>
      <c r="JI149" s="228"/>
      <c r="JJ149" s="228"/>
      <c r="JK149" s="228"/>
      <c r="JL149" s="228"/>
      <c r="JM149" s="228"/>
      <c r="JN149" s="228"/>
      <c r="JO149" s="228"/>
      <c r="JP149" s="228"/>
      <c r="JQ149" s="228"/>
      <c r="JR149" s="228"/>
      <c r="JS149" s="228"/>
      <c r="JT149" s="228"/>
      <c r="JU149" s="228"/>
      <c r="JV149" s="228"/>
      <c r="JW149" s="228"/>
      <c r="JX149" s="228"/>
      <c r="JY149" s="228"/>
      <c r="JZ149" s="228"/>
      <c r="KA149" s="228"/>
      <c r="KB149" s="228"/>
      <c r="KC149" s="228"/>
      <c r="KD149" s="228"/>
      <c r="KE149" s="228"/>
      <c r="KF149" s="228"/>
      <c r="KG149" s="228"/>
      <c r="KH149" s="228"/>
      <c r="KI149" s="228"/>
      <c r="KJ149" s="228"/>
      <c r="KK149" s="228"/>
      <c r="KL149" s="228"/>
      <c r="KM149" s="228"/>
      <c r="KN149" s="228"/>
      <c r="KO149" s="228"/>
      <c r="KP149" s="228"/>
      <c r="KQ149" s="228"/>
      <c r="KR149" s="228"/>
      <c r="KS149" s="228"/>
      <c r="KT149" s="228"/>
      <c r="KU149" s="228"/>
      <c r="KV149" s="228"/>
      <c r="KW149" s="228"/>
      <c r="KX149" s="228"/>
      <c r="KY149" s="228"/>
      <c r="KZ149" s="228"/>
      <c r="LA149" s="228"/>
      <c r="LB149" s="228"/>
      <c r="LC149" s="228"/>
      <c r="LD149" s="228"/>
      <c r="LE149" s="228"/>
      <c r="LF149" s="228"/>
      <c r="LG149" s="228"/>
      <c r="LH149" s="228"/>
      <c r="LI149" s="228"/>
      <c r="LJ149" s="228"/>
      <c r="LK149" s="228"/>
      <c r="LL149" s="228"/>
      <c r="LM149" s="228"/>
      <c r="LN149" s="228"/>
      <c r="LO149" s="228"/>
      <c r="LP149" s="228"/>
      <c r="LQ149" s="228"/>
      <c r="LR149" s="228"/>
      <c r="LS149" s="228"/>
      <c r="LT149" s="228"/>
      <c r="LU149" s="228"/>
      <c r="LV149" s="228"/>
      <c r="LW149" s="228"/>
      <c r="LX149" s="228"/>
      <c r="LY149" s="228"/>
      <c r="LZ149" s="228"/>
      <c r="MA149" s="228"/>
      <c r="MB149" s="228"/>
      <c r="MC149" s="228"/>
      <c r="MD149" s="228"/>
      <c r="ME149" s="228"/>
      <c r="MF149" s="228"/>
      <c r="MG149" s="228"/>
      <c r="MH149" s="228"/>
      <c r="MI149" s="228"/>
      <c r="MJ149" s="228"/>
      <c r="MK149" s="228"/>
      <c r="ML149" s="228"/>
      <c r="MM149" s="228"/>
      <c r="MN149" s="228"/>
      <c r="MO149" s="228"/>
      <c r="MP149" s="228"/>
      <c r="MQ149" s="228"/>
      <c r="MR149" s="228"/>
      <c r="MS149" s="228"/>
      <c r="MT149" s="228"/>
      <c r="MU149" s="228"/>
      <c r="MV149" s="228"/>
      <c r="MW149" s="228"/>
      <c r="MX149" s="228"/>
      <c r="MY149" s="228"/>
      <c r="MZ149" s="228"/>
      <c r="NA149" s="228"/>
      <c r="NB149" s="228"/>
      <c r="NC149" s="228"/>
      <c r="ND149" s="228"/>
      <c r="NE149" s="228"/>
      <c r="NF149" s="228"/>
      <c r="NG149" s="228"/>
      <c r="NH149" s="228"/>
      <c r="NI149" s="228"/>
      <c r="NJ149" s="228"/>
      <c r="NK149" s="228"/>
      <c r="NL149" s="228"/>
      <c r="NM149" s="228"/>
      <c r="NN149" s="228"/>
      <c r="NO149" s="228"/>
      <c r="NP149" s="228"/>
      <c r="NQ149" s="228"/>
      <c r="NR149" s="228"/>
      <c r="NS149" s="228"/>
      <c r="NT149" s="228"/>
      <c r="NU149" s="228"/>
      <c r="NV149" s="228"/>
      <c r="NW149" s="228"/>
      <c r="NX149" s="228"/>
      <c r="NY149" s="228"/>
      <c r="NZ149" s="228"/>
      <c r="OA149" s="228"/>
      <c r="OB149" s="228"/>
      <c r="OC149" s="228"/>
      <c r="OD149" s="228"/>
      <c r="OE149" s="228"/>
      <c r="OF149" s="228"/>
      <c r="OG149" s="228"/>
      <c r="OH149" s="228"/>
      <c r="OI149" s="228"/>
      <c r="OJ149" s="228"/>
      <c r="OK149" s="228"/>
      <c r="OL149" s="228"/>
      <c r="OM149" s="228"/>
      <c r="ON149" s="228"/>
      <c r="OO149" s="228"/>
      <c r="OP149" s="228"/>
      <c r="OQ149" s="228"/>
      <c r="OR149" s="228"/>
      <c r="OS149" s="228"/>
      <c r="OT149" s="228"/>
      <c r="OU149" s="228"/>
      <c r="OV149" s="228"/>
      <c r="OW149" s="228"/>
      <c r="OX149" s="228"/>
      <c r="OY149" s="228"/>
      <c r="OZ149" s="228"/>
      <c r="PA149" s="228"/>
      <c r="PB149" s="228"/>
      <c r="PC149" s="228"/>
      <c r="PD149" s="228"/>
      <c r="PE149" s="228"/>
      <c r="PF149" s="228"/>
      <c r="PG149" s="228"/>
      <c r="PH149" s="228"/>
      <c r="PI149" s="228"/>
      <c r="PJ149" s="228"/>
      <c r="PK149" s="228"/>
      <c r="PL149" s="228"/>
      <c r="PM149" s="228"/>
      <c r="PN149" s="228"/>
      <c r="PO149" s="228"/>
      <c r="PP149" s="228"/>
      <c r="PQ149" s="228"/>
      <c r="PR149" s="228"/>
      <c r="PS149" s="228"/>
      <c r="PT149" s="228"/>
      <c r="PU149" s="228"/>
      <c r="PV149" s="228"/>
      <c r="PW149" s="228"/>
      <c r="PX149" s="228"/>
      <c r="PY149" s="228"/>
      <c r="PZ149" s="228"/>
      <c r="QA149" s="228"/>
      <c r="QB149" s="228"/>
      <c r="QC149" s="228"/>
      <c r="QD149" s="228"/>
      <c r="QE149" s="228"/>
      <c r="QF149" s="228"/>
      <c r="QG149" s="228"/>
      <c r="QH149" s="228"/>
      <c r="QI149" s="228"/>
      <c r="QJ149" s="228"/>
      <c r="QK149" s="228"/>
      <c r="QL149" s="228"/>
      <c r="QM149" s="228"/>
      <c r="QN149" s="228"/>
      <c r="QO149" s="228"/>
      <c r="QP149" s="228"/>
      <c r="QQ149" s="228"/>
      <c r="QR149" s="228"/>
      <c r="QS149" s="228"/>
      <c r="QT149" s="228"/>
      <c r="QU149" s="228"/>
      <c r="QV149" s="228"/>
      <c r="QW149" s="228"/>
      <c r="QX149" s="228"/>
      <c r="QY149" s="228"/>
      <c r="QZ149" s="228"/>
      <c r="RA149" s="228"/>
      <c r="RB149" s="228"/>
      <c r="RC149" s="228"/>
      <c r="RD149" s="228"/>
      <c r="RE149" s="228"/>
      <c r="RF149" s="228"/>
      <c r="RG149" s="228"/>
      <c r="RH149" s="228"/>
      <c r="RI149" s="228"/>
      <c r="RJ149" s="228"/>
      <c r="RK149" s="228"/>
      <c r="RL149" s="228"/>
      <c r="RM149" s="228"/>
      <c r="RN149" s="228"/>
      <c r="RO149" s="228"/>
      <c r="RP149" s="228"/>
      <c r="RQ149" s="228"/>
      <c r="RR149" s="228"/>
      <c r="RS149" s="228"/>
      <c r="RT149" s="228"/>
      <c r="RU149" s="228"/>
      <c r="RV149" s="228"/>
      <c r="RW149" s="228"/>
      <c r="RX149" s="228"/>
      <c r="RY149" s="228"/>
      <c r="RZ149" s="228"/>
      <c r="SA149" s="228"/>
      <c r="SB149" s="228"/>
      <c r="SC149" s="228"/>
      <c r="SD149" s="228"/>
      <c r="SE149" s="228"/>
      <c r="SF149" s="228"/>
      <c r="SG149" s="228"/>
      <c r="SH149" s="228"/>
      <c r="SI149" s="228"/>
      <c r="SJ149" s="228"/>
      <c r="SK149" s="228"/>
      <c r="SL149" s="228"/>
      <c r="SM149" s="228"/>
      <c r="SN149" s="228"/>
      <c r="SO149" s="228"/>
      <c r="SP149" s="228"/>
      <c r="SQ149" s="228"/>
      <c r="SR149" s="228"/>
      <c r="SS149" s="228"/>
      <c r="ST149" s="228"/>
      <c r="SU149" s="228"/>
      <c r="SV149" s="228"/>
      <c r="SW149" s="228"/>
      <c r="SX149" s="228"/>
      <c r="SY149" s="228"/>
      <c r="SZ149" s="228"/>
      <c r="TA149" s="228"/>
      <c r="TB149" s="228"/>
      <c r="TC149" s="228"/>
      <c r="TD149" s="228"/>
      <c r="TE149" s="228"/>
      <c r="TF149" s="228"/>
      <c r="TG149" s="228"/>
      <c r="TH149" s="228"/>
      <c r="TI149" s="228"/>
      <c r="TJ149" s="228"/>
      <c r="TK149" s="228"/>
      <c r="TL149" s="228"/>
      <c r="TM149" s="228"/>
      <c r="TN149" s="228"/>
      <c r="TO149" s="228"/>
      <c r="TP149" s="228"/>
      <c r="TQ149" s="228"/>
      <c r="TR149" s="228"/>
      <c r="TS149" s="228"/>
      <c r="TT149" s="228"/>
      <c r="TU149" s="228"/>
    </row>
    <row r="150" spans="1:541" s="268" customFormat="1" outlineLevel="1" x14ac:dyDescent="0.25">
      <c r="A150" s="232">
        <v>15</v>
      </c>
      <c r="B150" s="193" t="s">
        <v>1075</v>
      </c>
      <c r="C150" s="5" t="s">
        <v>1183</v>
      </c>
      <c r="D150" s="5" t="s">
        <v>822</v>
      </c>
      <c r="E150" s="5" t="s">
        <v>100</v>
      </c>
      <c r="F150" s="213" t="s">
        <v>0</v>
      </c>
      <c r="G150" s="271"/>
      <c r="H150" s="213" t="s">
        <v>1167</v>
      </c>
      <c r="I150" s="5"/>
      <c r="J150" s="5" t="s">
        <v>0</v>
      </c>
      <c r="K150" s="5" t="s">
        <v>487</v>
      </c>
      <c r="L150" s="5" t="s">
        <v>487</v>
      </c>
      <c r="M150" s="213" t="s">
        <v>487</v>
      </c>
      <c r="N150" s="5" t="s">
        <v>1159</v>
      </c>
      <c r="O150" s="5" t="s">
        <v>1160</v>
      </c>
      <c r="P150" s="5" t="s">
        <v>1156</v>
      </c>
      <c r="Q150" s="234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 s="228"/>
      <c r="AX150" s="228"/>
      <c r="AY150" s="228"/>
      <c r="AZ150" s="228"/>
      <c r="BA150" s="228"/>
      <c r="BB150" s="228"/>
      <c r="BC150" s="228"/>
      <c r="BD150" s="228"/>
      <c r="BE150" s="228"/>
      <c r="BF150" s="228"/>
      <c r="BG150" s="228"/>
      <c r="BH150" s="228"/>
      <c r="BI150" s="228"/>
      <c r="BJ150" s="228"/>
      <c r="BK150" s="228"/>
      <c r="BL150" s="228"/>
      <c r="BM150" s="228"/>
      <c r="BN150" s="228"/>
      <c r="BO150" s="228"/>
      <c r="BP150" s="228"/>
      <c r="BQ150" s="228"/>
      <c r="BR150" s="228"/>
      <c r="BS150" s="228"/>
      <c r="BT150" s="228"/>
      <c r="BU150" s="228"/>
      <c r="BV150" s="228"/>
      <c r="BW150" s="228"/>
      <c r="BX150" s="228"/>
      <c r="BY150" s="228"/>
      <c r="BZ150" s="228"/>
      <c r="CA150" s="228"/>
      <c r="CB150" s="228"/>
      <c r="CC150" s="228"/>
      <c r="CD150" s="228"/>
      <c r="CE150" s="228"/>
      <c r="CF150" s="228"/>
      <c r="CG150" s="228"/>
      <c r="CH150" s="228"/>
      <c r="CI150" s="228"/>
      <c r="CJ150" s="228"/>
      <c r="CK150" s="228"/>
      <c r="CL150" s="228"/>
      <c r="CM150" s="228"/>
      <c r="CN150" s="228"/>
      <c r="CO150" s="228"/>
      <c r="CP150" s="228"/>
      <c r="CQ150" s="228"/>
      <c r="CR150" s="228"/>
      <c r="CS150" s="228"/>
      <c r="CT150" s="228"/>
      <c r="CU150" s="228"/>
      <c r="CV150" s="228"/>
      <c r="CW150" s="228"/>
      <c r="CX150" s="228"/>
      <c r="CY150" s="228"/>
      <c r="CZ150" s="228"/>
      <c r="DA150" s="228"/>
      <c r="DB150" s="228"/>
      <c r="DC150" s="228"/>
      <c r="DD150" s="228"/>
      <c r="DE150" s="228"/>
      <c r="DF150" s="228"/>
      <c r="DG150" s="228"/>
      <c r="DH150" s="228"/>
      <c r="DI150" s="228"/>
      <c r="DJ150" s="228"/>
      <c r="DK150" s="228"/>
      <c r="DL150" s="228"/>
      <c r="DM150" s="228"/>
      <c r="DN150" s="228"/>
      <c r="DO150" s="228"/>
      <c r="DP150" s="228"/>
      <c r="DQ150" s="228"/>
      <c r="DR150" s="228"/>
      <c r="DS150" s="228"/>
      <c r="DT150" s="228"/>
      <c r="DU150" s="228"/>
      <c r="DV150" s="228"/>
      <c r="DW150" s="228"/>
      <c r="DX150" s="228"/>
      <c r="DY150" s="228"/>
      <c r="DZ150" s="228"/>
      <c r="EA150" s="228"/>
      <c r="EB150" s="228"/>
      <c r="EC150" s="228"/>
      <c r="ED150" s="228"/>
      <c r="EE150" s="228"/>
      <c r="EF150" s="228"/>
      <c r="EG150" s="228"/>
      <c r="EH150" s="228"/>
      <c r="EI150" s="228"/>
      <c r="EJ150" s="228"/>
      <c r="EK150" s="228"/>
      <c r="EL150" s="228"/>
      <c r="EM150" s="228"/>
      <c r="EN150" s="228"/>
      <c r="EO150" s="228"/>
      <c r="EP150" s="228"/>
      <c r="EQ150" s="228"/>
      <c r="ER150" s="228"/>
      <c r="ES150" s="228"/>
      <c r="ET150" s="228"/>
      <c r="EU150" s="228"/>
      <c r="EV150" s="228"/>
      <c r="EW150" s="228"/>
      <c r="EX150" s="228"/>
      <c r="EY150" s="228"/>
      <c r="EZ150" s="228"/>
      <c r="FA150" s="228"/>
      <c r="FB150" s="228"/>
      <c r="FC150" s="228"/>
      <c r="FD150" s="228"/>
      <c r="FE150" s="228"/>
      <c r="FF150" s="228"/>
      <c r="FG150" s="228"/>
      <c r="FH150" s="228"/>
      <c r="FI150" s="228"/>
      <c r="FJ150" s="228"/>
      <c r="FK150" s="228"/>
      <c r="FL150" s="228"/>
      <c r="FM150" s="228"/>
      <c r="FN150" s="228"/>
      <c r="FO150" s="228"/>
      <c r="FP150" s="228"/>
      <c r="FQ150" s="228"/>
      <c r="FR150" s="228"/>
      <c r="FS150" s="228"/>
      <c r="FT150" s="228"/>
      <c r="FU150" s="228"/>
      <c r="FV150" s="228"/>
      <c r="FW150" s="228"/>
      <c r="FX150" s="228"/>
      <c r="FY150" s="228"/>
      <c r="FZ150" s="228"/>
      <c r="GA150" s="228"/>
      <c r="GB150" s="228"/>
      <c r="GC150" s="228"/>
      <c r="GD150" s="228"/>
      <c r="GE150" s="228"/>
      <c r="GF150" s="228"/>
      <c r="GG150" s="228"/>
      <c r="GH150" s="228"/>
      <c r="GI150" s="228"/>
      <c r="GJ150" s="228"/>
      <c r="GK150" s="228"/>
      <c r="GL150" s="228"/>
      <c r="GM150" s="228"/>
      <c r="GN150" s="228"/>
      <c r="GO150" s="228"/>
      <c r="GP150" s="228"/>
      <c r="GQ150" s="228"/>
      <c r="GR150" s="228"/>
      <c r="GS150" s="228"/>
      <c r="GT150" s="228"/>
      <c r="GU150" s="228"/>
      <c r="GV150" s="228"/>
      <c r="GW150" s="228"/>
      <c r="GX150" s="228"/>
      <c r="GY150" s="228"/>
      <c r="GZ150" s="228"/>
      <c r="HA150" s="228"/>
      <c r="HB150" s="228"/>
      <c r="HC150" s="228"/>
      <c r="HD150" s="228"/>
      <c r="HE150" s="228"/>
      <c r="HF150" s="228"/>
      <c r="HG150" s="228"/>
      <c r="HH150" s="228"/>
      <c r="HI150" s="228"/>
      <c r="HJ150" s="228"/>
      <c r="HK150" s="228"/>
      <c r="HL150" s="228"/>
      <c r="HM150" s="228"/>
      <c r="HN150" s="228"/>
      <c r="HO150" s="228"/>
      <c r="HP150" s="228"/>
      <c r="HQ150" s="228"/>
      <c r="HR150" s="228"/>
      <c r="HS150" s="228"/>
      <c r="HT150" s="228"/>
      <c r="HU150" s="228"/>
      <c r="HV150" s="228"/>
      <c r="HW150" s="228"/>
      <c r="HX150" s="228"/>
      <c r="HY150" s="228"/>
      <c r="HZ150" s="228"/>
      <c r="IA150" s="228"/>
      <c r="IB150" s="228"/>
      <c r="IC150" s="228"/>
      <c r="ID150" s="228"/>
      <c r="IE150" s="228"/>
      <c r="IF150" s="228"/>
      <c r="IG150" s="228"/>
      <c r="IH150" s="228"/>
      <c r="II150" s="228"/>
      <c r="IJ150" s="228"/>
      <c r="IK150" s="228"/>
      <c r="IL150" s="228"/>
      <c r="IM150" s="228"/>
      <c r="IN150" s="228"/>
      <c r="IO150" s="228"/>
      <c r="IP150" s="228"/>
      <c r="IQ150" s="228"/>
      <c r="IR150" s="228"/>
      <c r="IS150" s="228"/>
      <c r="IT150" s="228"/>
      <c r="IU150" s="228"/>
      <c r="IV150" s="228"/>
      <c r="IW150" s="228"/>
      <c r="IX150" s="228"/>
      <c r="IY150" s="228"/>
      <c r="IZ150" s="228"/>
      <c r="JA150" s="228"/>
      <c r="JB150" s="228"/>
      <c r="JC150" s="228"/>
      <c r="JD150" s="228"/>
      <c r="JE150" s="228"/>
      <c r="JF150" s="228"/>
      <c r="JG150" s="228"/>
      <c r="JH150" s="228"/>
      <c r="JI150" s="228"/>
      <c r="JJ150" s="228"/>
      <c r="JK150" s="228"/>
      <c r="JL150" s="228"/>
      <c r="JM150" s="228"/>
      <c r="JN150" s="228"/>
      <c r="JO150" s="228"/>
      <c r="JP150" s="228"/>
      <c r="JQ150" s="228"/>
      <c r="JR150" s="228"/>
      <c r="JS150" s="228"/>
      <c r="JT150" s="228"/>
      <c r="JU150" s="228"/>
      <c r="JV150" s="228"/>
      <c r="JW150" s="228"/>
      <c r="JX150" s="228"/>
      <c r="JY150" s="228"/>
      <c r="JZ150" s="228"/>
      <c r="KA150" s="228"/>
      <c r="KB150" s="228"/>
      <c r="KC150" s="228"/>
      <c r="KD150" s="228"/>
      <c r="KE150" s="228"/>
      <c r="KF150" s="228"/>
      <c r="KG150" s="228"/>
      <c r="KH150" s="228"/>
      <c r="KI150" s="228"/>
      <c r="KJ150" s="228"/>
      <c r="KK150" s="228"/>
      <c r="KL150" s="228"/>
      <c r="KM150" s="228"/>
      <c r="KN150" s="228"/>
      <c r="KO150" s="228"/>
      <c r="KP150" s="228"/>
      <c r="KQ150" s="228"/>
      <c r="KR150" s="228"/>
      <c r="KS150" s="228"/>
      <c r="KT150" s="228"/>
      <c r="KU150" s="228"/>
      <c r="KV150" s="228"/>
      <c r="KW150" s="228"/>
      <c r="KX150" s="228"/>
      <c r="KY150" s="228"/>
      <c r="KZ150" s="228"/>
      <c r="LA150" s="228"/>
      <c r="LB150" s="228"/>
      <c r="LC150" s="228"/>
      <c r="LD150" s="228"/>
      <c r="LE150" s="228"/>
      <c r="LF150" s="228"/>
      <c r="LG150" s="228"/>
      <c r="LH150" s="228"/>
      <c r="LI150" s="228"/>
      <c r="LJ150" s="228"/>
      <c r="LK150" s="228"/>
      <c r="LL150" s="228"/>
      <c r="LM150" s="228"/>
      <c r="LN150" s="228"/>
      <c r="LO150" s="228"/>
      <c r="LP150" s="228"/>
      <c r="LQ150" s="228"/>
      <c r="LR150" s="228"/>
      <c r="LS150" s="228"/>
      <c r="LT150" s="228"/>
      <c r="LU150" s="228"/>
      <c r="LV150" s="228"/>
      <c r="LW150" s="228"/>
      <c r="LX150" s="228"/>
      <c r="LY150" s="228"/>
      <c r="LZ150" s="228"/>
      <c r="MA150" s="228"/>
      <c r="MB150" s="228"/>
      <c r="MC150" s="228"/>
      <c r="MD150" s="228"/>
      <c r="ME150" s="228"/>
      <c r="MF150" s="228"/>
      <c r="MG150" s="228"/>
      <c r="MH150" s="228"/>
      <c r="MI150" s="228"/>
      <c r="MJ150" s="228"/>
      <c r="MK150" s="228"/>
      <c r="ML150" s="228"/>
      <c r="MM150" s="228"/>
      <c r="MN150" s="228"/>
      <c r="MO150" s="228"/>
      <c r="MP150" s="228"/>
      <c r="MQ150" s="228"/>
      <c r="MR150" s="228"/>
      <c r="MS150" s="228"/>
      <c r="MT150" s="228"/>
      <c r="MU150" s="228"/>
      <c r="MV150" s="228"/>
      <c r="MW150" s="228"/>
      <c r="MX150" s="228"/>
      <c r="MY150" s="228"/>
      <c r="MZ150" s="228"/>
      <c r="NA150" s="228"/>
      <c r="NB150" s="228"/>
      <c r="NC150" s="228"/>
      <c r="ND150" s="228"/>
      <c r="NE150" s="228"/>
      <c r="NF150" s="228"/>
      <c r="NG150" s="228"/>
      <c r="NH150" s="228"/>
      <c r="NI150" s="228"/>
      <c r="NJ150" s="228"/>
      <c r="NK150" s="228"/>
      <c r="NL150" s="228"/>
      <c r="NM150" s="228"/>
      <c r="NN150" s="228"/>
      <c r="NO150" s="228"/>
      <c r="NP150" s="228"/>
      <c r="NQ150" s="228"/>
      <c r="NR150" s="228"/>
      <c r="NS150" s="228"/>
      <c r="NT150" s="228"/>
      <c r="NU150" s="228"/>
      <c r="NV150" s="228"/>
      <c r="NW150" s="228"/>
      <c r="NX150" s="228"/>
      <c r="NY150" s="228"/>
      <c r="NZ150" s="228"/>
      <c r="OA150" s="228"/>
      <c r="OB150" s="228"/>
      <c r="OC150" s="228"/>
      <c r="OD150" s="228"/>
      <c r="OE150" s="228"/>
      <c r="OF150" s="228"/>
      <c r="OG150" s="228"/>
      <c r="OH150" s="228"/>
      <c r="OI150" s="228"/>
      <c r="OJ150" s="228"/>
      <c r="OK150" s="228"/>
      <c r="OL150" s="228"/>
      <c r="OM150" s="228"/>
      <c r="ON150" s="228"/>
      <c r="OO150" s="228"/>
      <c r="OP150" s="228"/>
      <c r="OQ150" s="228"/>
      <c r="OR150" s="228"/>
      <c r="OS150" s="228"/>
      <c r="OT150" s="228"/>
      <c r="OU150" s="228"/>
      <c r="OV150" s="228"/>
      <c r="OW150" s="228"/>
      <c r="OX150" s="228"/>
      <c r="OY150" s="228"/>
      <c r="OZ150" s="228"/>
      <c r="PA150" s="228"/>
      <c r="PB150" s="228"/>
      <c r="PC150" s="228"/>
      <c r="PD150" s="228"/>
      <c r="PE150" s="228"/>
      <c r="PF150" s="228"/>
      <c r="PG150" s="228"/>
      <c r="PH150" s="228"/>
      <c r="PI150" s="228"/>
      <c r="PJ150" s="228"/>
      <c r="PK150" s="228"/>
      <c r="PL150" s="228"/>
      <c r="PM150" s="228"/>
      <c r="PN150" s="228"/>
      <c r="PO150" s="228"/>
      <c r="PP150" s="228"/>
      <c r="PQ150" s="228"/>
      <c r="PR150" s="228"/>
      <c r="PS150" s="228"/>
      <c r="PT150" s="228"/>
      <c r="PU150" s="228"/>
      <c r="PV150" s="228"/>
      <c r="PW150" s="228"/>
      <c r="PX150" s="228"/>
      <c r="PY150" s="228"/>
      <c r="PZ150" s="228"/>
      <c r="QA150" s="228"/>
      <c r="QB150" s="228"/>
      <c r="QC150" s="228"/>
      <c r="QD150" s="228"/>
      <c r="QE150" s="228"/>
      <c r="QF150" s="228"/>
      <c r="QG150" s="228"/>
      <c r="QH150" s="228"/>
      <c r="QI150" s="228"/>
      <c r="QJ150" s="228"/>
      <c r="QK150" s="228"/>
      <c r="QL150" s="228"/>
      <c r="QM150" s="228"/>
      <c r="QN150" s="228"/>
      <c r="QO150" s="228"/>
      <c r="QP150" s="228"/>
      <c r="QQ150" s="228"/>
      <c r="QR150" s="228"/>
      <c r="QS150" s="228"/>
      <c r="QT150" s="228"/>
      <c r="QU150" s="228"/>
      <c r="QV150" s="228"/>
      <c r="QW150" s="228"/>
      <c r="QX150" s="228"/>
      <c r="QY150" s="228"/>
      <c r="QZ150" s="228"/>
      <c r="RA150" s="228"/>
      <c r="RB150" s="228"/>
      <c r="RC150" s="228"/>
      <c r="RD150" s="228"/>
      <c r="RE150" s="228"/>
      <c r="RF150" s="228"/>
      <c r="RG150" s="228"/>
      <c r="RH150" s="228"/>
      <c r="RI150" s="228"/>
      <c r="RJ150" s="228"/>
      <c r="RK150" s="228"/>
      <c r="RL150" s="228"/>
      <c r="RM150" s="228"/>
      <c r="RN150" s="228"/>
      <c r="RO150" s="228"/>
      <c r="RP150" s="228"/>
      <c r="RQ150" s="228"/>
      <c r="RR150" s="228"/>
      <c r="RS150" s="228"/>
      <c r="RT150" s="228"/>
      <c r="RU150" s="228"/>
      <c r="RV150" s="228"/>
      <c r="RW150" s="228"/>
      <c r="RX150" s="228"/>
      <c r="RY150" s="228"/>
      <c r="RZ150" s="228"/>
      <c r="SA150" s="228"/>
      <c r="SB150" s="228"/>
      <c r="SC150" s="228"/>
      <c r="SD150" s="228"/>
      <c r="SE150" s="228"/>
      <c r="SF150" s="228"/>
      <c r="SG150" s="228"/>
      <c r="SH150" s="228"/>
      <c r="SI150" s="228"/>
      <c r="SJ150" s="228"/>
      <c r="SK150" s="228"/>
      <c r="SL150" s="228"/>
      <c r="SM150" s="228"/>
      <c r="SN150" s="228"/>
      <c r="SO150" s="228"/>
      <c r="SP150" s="228"/>
      <c r="SQ150" s="228"/>
      <c r="SR150" s="228"/>
      <c r="SS150" s="228"/>
      <c r="ST150" s="228"/>
      <c r="SU150" s="228"/>
      <c r="SV150" s="228"/>
      <c r="SW150" s="228"/>
      <c r="SX150" s="228"/>
      <c r="SY150" s="228"/>
      <c r="SZ150" s="228"/>
      <c r="TA150" s="228"/>
      <c r="TB150" s="228"/>
      <c r="TC150" s="228"/>
      <c r="TD150" s="228"/>
      <c r="TE150" s="228"/>
      <c r="TF150" s="228"/>
      <c r="TG150" s="228"/>
      <c r="TH150" s="228"/>
      <c r="TI150" s="228"/>
      <c r="TJ150" s="228"/>
      <c r="TK150" s="228"/>
      <c r="TL150" s="228"/>
      <c r="TM150" s="228"/>
      <c r="TN150" s="228"/>
      <c r="TO150" s="228"/>
      <c r="TP150" s="228"/>
      <c r="TQ150" s="228"/>
      <c r="TR150" s="228"/>
      <c r="TS150" s="228"/>
      <c r="TT150" s="228"/>
      <c r="TU150" s="228"/>
    </row>
    <row r="151" spans="1:541" s="268" customFormat="1" outlineLevel="1" x14ac:dyDescent="0.25">
      <c r="A151" s="232">
        <v>16</v>
      </c>
      <c r="B151" s="193" t="s">
        <v>1075</v>
      </c>
      <c r="C151" s="5" t="s">
        <v>1073</v>
      </c>
      <c r="D151" s="5" t="s">
        <v>1084</v>
      </c>
      <c r="E151" s="5" t="s">
        <v>803</v>
      </c>
      <c r="F151" s="213" t="s">
        <v>435</v>
      </c>
      <c r="G151" s="213" t="s">
        <v>1067</v>
      </c>
      <c r="H151" s="213" t="s">
        <v>1167</v>
      </c>
      <c r="I151" s="5"/>
      <c r="J151" s="5" t="s">
        <v>800</v>
      </c>
      <c r="K151" s="5" t="s">
        <v>487</v>
      </c>
      <c r="L151" s="5" t="s">
        <v>487</v>
      </c>
      <c r="M151" s="213" t="s">
        <v>487</v>
      </c>
      <c r="N151" s="213" t="s">
        <v>1161</v>
      </c>
      <c r="O151" s="213" t="s">
        <v>1158</v>
      </c>
      <c r="P151" s="213" t="s">
        <v>1162</v>
      </c>
      <c r="Q151" s="234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 s="228"/>
      <c r="AX151" s="228"/>
      <c r="AY151" s="228"/>
      <c r="AZ151" s="228"/>
      <c r="BA151" s="228"/>
      <c r="BB151" s="228"/>
      <c r="BC151" s="228"/>
      <c r="BD151" s="228"/>
      <c r="BE151" s="228"/>
      <c r="BF151" s="228"/>
      <c r="BG151" s="228"/>
      <c r="BH151" s="228"/>
      <c r="BI151" s="228"/>
      <c r="BJ151" s="228"/>
      <c r="BK151" s="228"/>
      <c r="BL151" s="228"/>
      <c r="BM151" s="228"/>
      <c r="BN151" s="228"/>
      <c r="BO151" s="228"/>
      <c r="BP151" s="228"/>
      <c r="BQ151" s="228"/>
      <c r="BR151" s="228"/>
      <c r="BS151" s="228"/>
      <c r="BT151" s="228"/>
      <c r="BU151" s="228"/>
      <c r="BV151" s="228"/>
      <c r="BW151" s="228"/>
      <c r="BX151" s="228"/>
      <c r="BY151" s="228"/>
      <c r="BZ151" s="228"/>
      <c r="CA151" s="228"/>
      <c r="CB151" s="228"/>
      <c r="CC151" s="228"/>
      <c r="CD151" s="228"/>
      <c r="CE151" s="228"/>
      <c r="CF151" s="228"/>
      <c r="CG151" s="228"/>
      <c r="CH151" s="228"/>
      <c r="CI151" s="228"/>
      <c r="CJ151" s="228"/>
      <c r="CK151" s="228"/>
      <c r="CL151" s="228"/>
      <c r="CM151" s="228"/>
      <c r="CN151" s="228"/>
      <c r="CO151" s="228"/>
      <c r="CP151" s="228"/>
      <c r="CQ151" s="228"/>
      <c r="CR151" s="228"/>
      <c r="CS151" s="228"/>
      <c r="CT151" s="228"/>
      <c r="CU151" s="228"/>
      <c r="CV151" s="228"/>
      <c r="CW151" s="228"/>
      <c r="CX151" s="228"/>
      <c r="CY151" s="228"/>
      <c r="CZ151" s="228"/>
      <c r="DA151" s="228"/>
      <c r="DB151" s="228"/>
      <c r="DC151" s="228"/>
      <c r="DD151" s="228"/>
      <c r="DE151" s="228"/>
      <c r="DF151" s="228"/>
      <c r="DG151" s="228"/>
      <c r="DH151" s="228"/>
      <c r="DI151" s="228"/>
      <c r="DJ151" s="228"/>
      <c r="DK151" s="228"/>
      <c r="DL151" s="228"/>
      <c r="DM151" s="228"/>
      <c r="DN151" s="228"/>
      <c r="DO151" s="228"/>
      <c r="DP151" s="228"/>
      <c r="DQ151" s="228"/>
      <c r="DR151" s="228"/>
      <c r="DS151" s="228"/>
      <c r="DT151" s="228"/>
      <c r="DU151" s="228"/>
      <c r="DV151" s="228"/>
      <c r="DW151" s="228"/>
      <c r="DX151" s="228"/>
      <c r="DY151" s="228"/>
      <c r="DZ151" s="228"/>
      <c r="EA151" s="228"/>
      <c r="EB151" s="228"/>
      <c r="EC151" s="228"/>
      <c r="ED151" s="228"/>
      <c r="EE151" s="228"/>
      <c r="EF151" s="228"/>
      <c r="EG151" s="228"/>
      <c r="EH151" s="228"/>
      <c r="EI151" s="228"/>
      <c r="EJ151" s="228"/>
      <c r="EK151" s="228"/>
      <c r="EL151" s="228"/>
      <c r="EM151" s="228"/>
      <c r="EN151" s="228"/>
      <c r="EO151" s="228"/>
      <c r="EP151" s="228"/>
      <c r="EQ151" s="228"/>
      <c r="ER151" s="228"/>
      <c r="ES151" s="228"/>
      <c r="ET151" s="228"/>
      <c r="EU151" s="228"/>
      <c r="EV151" s="228"/>
      <c r="EW151" s="228"/>
      <c r="EX151" s="228"/>
      <c r="EY151" s="228"/>
      <c r="EZ151" s="228"/>
      <c r="FA151" s="228"/>
      <c r="FB151" s="228"/>
      <c r="FC151" s="228"/>
      <c r="FD151" s="228"/>
      <c r="FE151" s="228"/>
      <c r="FF151" s="228"/>
      <c r="FG151" s="228"/>
      <c r="FH151" s="228"/>
      <c r="FI151" s="228"/>
      <c r="FJ151" s="228"/>
      <c r="FK151" s="228"/>
      <c r="FL151" s="228"/>
      <c r="FM151" s="228"/>
      <c r="FN151" s="228"/>
      <c r="FO151" s="228"/>
      <c r="FP151" s="228"/>
      <c r="FQ151" s="228"/>
      <c r="FR151" s="228"/>
      <c r="FS151" s="228"/>
      <c r="FT151" s="228"/>
      <c r="FU151" s="228"/>
      <c r="FV151" s="228"/>
      <c r="FW151" s="228"/>
      <c r="FX151" s="228"/>
      <c r="FY151" s="228"/>
      <c r="FZ151" s="228"/>
      <c r="GA151" s="228"/>
      <c r="GB151" s="228"/>
      <c r="GC151" s="228"/>
      <c r="GD151" s="228"/>
      <c r="GE151" s="228"/>
      <c r="GF151" s="228"/>
      <c r="GG151" s="228"/>
      <c r="GH151" s="228"/>
      <c r="GI151" s="228"/>
      <c r="GJ151" s="228"/>
      <c r="GK151" s="228"/>
      <c r="GL151" s="228"/>
      <c r="GM151" s="228"/>
      <c r="GN151" s="228"/>
      <c r="GO151" s="228"/>
      <c r="GP151" s="228"/>
      <c r="GQ151" s="228"/>
      <c r="GR151" s="228"/>
      <c r="GS151" s="228"/>
      <c r="GT151" s="228"/>
      <c r="GU151" s="228"/>
      <c r="GV151" s="228"/>
      <c r="GW151" s="228"/>
      <c r="GX151" s="228"/>
      <c r="GY151" s="228"/>
      <c r="GZ151" s="228"/>
      <c r="HA151" s="228"/>
      <c r="HB151" s="228"/>
      <c r="HC151" s="228"/>
      <c r="HD151" s="228"/>
      <c r="HE151" s="228"/>
      <c r="HF151" s="228"/>
      <c r="HG151" s="228"/>
      <c r="HH151" s="228"/>
      <c r="HI151" s="228"/>
      <c r="HJ151" s="228"/>
      <c r="HK151" s="228"/>
      <c r="HL151" s="228"/>
      <c r="HM151" s="228"/>
      <c r="HN151" s="228"/>
      <c r="HO151" s="228"/>
      <c r="HP151" s="228"/>
      <c r="HQ151" s="228"/>
      <c r="HR151" s="228"/>
      <c r="HS151" s="228"/>
      <c r="HT151" s="228"/>
      <c r="HU151" s="228"/>
      <c r="HV151" s="228"/>
      <c r="HW151" s="228"/>
      <c r="HX151" s="228"/>
      <c r="HY151" s="228"/>
      <c r="HZ151" s="228"/>
      <c r="IA151" s="228"/>
      <c r="IB151" s="228"/>
      <c r="IC151" s="228"/>
      <c r="ID151" s="228"/>
      <c r="IE151" s="228"/>
      <c r="IF151" s="228"/>
      <c r="IG151" s="228"/>
      <c r="IH151" s="228"/>
      <c r="II151" s="228"/>
      <c r="IJ151" s="228"/>
      <c r="IK151" s="228"/>
      <c r="IL151" s="228"/>
      <c r="IM151" s="228"/>
      <c r="IN151" s="228"/>
      <c r="IO151" s="228"/>
      <c r="IP151" s="228"/>
      <c r="IQ151" s="228"/>
      <c r="IR151" s="228"/>
      <c r="IS151" s="228"/>
      <c r="IT151" s="228"/>
      <c r="IU151" s="228"/>
      <c r="IV151" s="228"/>
      <c r="IW151" s="228"/>
      <c r="IX151" s="228"/>
      <c r="IY151" s="228"/>
      <c r="IZ151" s="228"/>
      <c r="JA151" s="228"/>
      <c r="JB151" s="228"/>
      <c r="JC151" s="228"/>
      <c r="JD151" s="228"/>
      <c r="JE151" s="228"/>
      <c r="JF151" s="228"/>
      <c r="JG151" s="228"/>
      <c r="JH151" s="228"/>
      <c r="JI151" s="228"/>
      <c r="JJ151" s="228"/>
      <c r="JK151" s="228"/>
      <c r="JL151" s="228"/>
      <c r="JM151" s="228"/>
      <c r="JN151" s="228"/>
      <c r="JO151" s="228"/>
      <c r="JP151" s="228"/>
      <c r="JQ151" s="228"/>
      <c r="JR151" s="228"/>
      <c r="JS151" s="228"/>
      <c r="JT151" s="228"/>
      <c r="JU151" s="228"/>
      <c r="JV151" s="228"/>
      <c r="JW151" s="228"/>
      <c r="JX151" s="228"/>
      <c r="JY151" s="228"/>
      <c r="JZ151" s="228"/>
      <c r="KA151" s="228"/>
      <c r="KB151" s="228"/>
      <c r="KC151" s="228"/>
      <c r="KD151" s="228"/>
      <c r="KE151" s="228"/>
      <c r="KF151" s="228"/>
      <c r="KG151" s="228"/>
      <c r="KH151" s="228"/>
      <c r="KI151" s="228"/>
      <c r="KJ151" s="228"/>
      <c r="KK151" s="228"/>
      <c r="KL151" s="228"/>
      <c r="KM151" s="228"/>
      <c r="KN151" s="228"/>
      <c r="KO151" s="228"/>
      <c r="KP151" s="228"/>
      <c r="KQ151" s="228"/>
      <c r="KR151" s="228"/>
      <c r="KS151" s="228"/>
      <c r="KT151" s="228"/>
      <c r="KU151" s="228"/>
      <c r="KV151" s="228"/>
      <c r="KW151" s="228"/>
      <c r="KX151" s="228"/>
      <c r="KY151" s="228"/>
      <c r="KZ151" s="228"/>
      <c r="LA151" s="228"/>
      <c r="LB151" s="228"/>
      <c r="LC151" s="228"/>
      <c r="LD151" s="228"/>
      <c r="LE151" s="228"/>
      <c r="LF151" s="228"/>
      <c r="LG151" s="228"/>
      <c r="LH151" s="228"/>
      <c r="LI151" s="228"/>
      <c r="LJ151" s="228"/>
      <c r="LK151" s="228"/>
      <c r="LL151" s="228"/>
      <c r="LM151" s="228"/>
      <c r="LN151" s="228"/>
      <c r="LO151" s="228"/>
      <c r="LP151" s="228"/>
      <c r="LQ151" s="228"/>
      <c r="LR151" s="228"/>
      <c r="LS151" s="228"/>
      <c r="LT151" s="228"/>
      <c r="LU151" s="228"/>
      <c r="LV151" s="228"/>
      <c r="LW151" s="228"/>
      <c r="LX151" s="228"/>
      <c r="LY151" s="228"/>
      <c r="LZ151" s="228"/>
      <c r="MA151" s="228"/>
      <c r="MB151" s="228"/>
      <c r="MC151" s="228"/>
      <c r="MD151" s="228"/>
      <c r="ME151" s="228"/>
      <c r="MF151" s="228"/>
      <c r="MG151" s="228"/>
      <c r="MH151" s="228"/>
      <c r="MI151" s="228"/>
      <c r="MJ151" s="228"/>
      <c r="MK151" s="228"/>
      <c r="ML151" s="228"/>
      <c r="MM151" s="228"/>
      <c r="MN151" s="228"/>
      <c r="MO151" s="228"/>
      <c r="MP151" s="228"/>
      <c r="MQ151" s="228"/>
      <c r="MR151" s="228"/>
      <c r="MS151" s="228"/>
      <c r="MT151" s="228"/>
      <c r="MU151" s="228"/>
      <c r="MV151" s="228"/>
      <c r="MW151" s="228"/>
      <c r="MX151" s="228"/>
      <c r="MY151" s="228"/>
      <c r="MZ151" s="228"/>
      <c r="NA151" s="228"/>
      <c r="NB151" s="228"/>
      <c r="NC151" s="228"/>
      <c r="ND151" s="228"/>
      <c r="NE151" s="228"/>
      <c r="NF151" s="228"/>
      <c r="NG151" s="228"/>
      <c r="NH151" s="228"/>
      <c r="NI151" s="228"/>
      <c r="NJ151" s="228"/>
      <c r="NK151" s="228"/>
      <c r="NL151" s="228"/>
      <c r="NM151" s="228"/>
      <c r="NN151" s="228"/>
      <c r="NO151" s="228"/>
      <c r="NP151" s="228"/>
      <c r="NQ151" s="228"/>
      <c r="NR151" s="228"/>
      <c r="NS151" s="228"/>
      <c r="NT151" s="228"/>
      <c r="NU151" s="228"/>
      <c r="NV151" s="228"/>
      <c r="NW151" s="228"/>
      <c r="NX151" s="228"/>
      <c r="NY151" s="228"/>
      <c r="NZ151" s="228"/>
      <c r="OA151" s="228"/>
      <c r="OB151" s="228"/>
      <c r="OC151" s="228"/>
      <c r="OD151" s="228"/>
      <c r="OE151" s="228"/>
      <c r="OF151" s="228"/>
      <c r="OG151" s="228"/>
      <c r="OH151" s="228"/>
      <c r="OI151" s="228"/>
      <c r="OJ151" s="228"/>
      <c r="OK151" s="228"/>
      <c r="OL151" s="228"/>
      <c r="OM151" s="228"/>
      <c r="ON151" s="228"/>
      <c r="OO151" s="228"/>
      <c r="OP151" s="228"/>
      <c r="OQ151" s="228"/>
      <c r="OR151" s="228"/>
      <c r="OS151" s="228"/>
      <c r="OT151" s="228"/>
      <c r="OU151" s="228"/>
      <c r="OV151" s="228"/>
      <c r="OW151" s="228"/>
      <c r="OX151" s="228"/>
      <c r="OY151" s="228"/>
      <c r="OZ151" s="228"/>
      <c r="PA151" s="228"/>
      <c r="PB151" s="228"/>
      <c r="PC151" s="228"/>
      <c r="PD151" s="228"/>
      <c r="PE151" s="228"/>
      <c r="PF151" s="228"/>
      <c r="PG151" s="228"/>
      <c r="PH151" s="228"/>
      <c r="PI151" s="228"/>
      <c r="PJ151" s="228"/>
      <c r="PK151" s="228"/>
      <c r="PL151" s="228"/>
      <c r="PM151" s="228"/>
      <c r="PN151" s="228"/>
      <c r="PO151" s="228"/>
      <c r="PP151" s="228"/>
      <c r="PQ151" s="228"/>
      <c r="PR151" s="228"/>
      <c r="PS151" s="228"/>
      <c r="PT151" s="228"/>
      <c r="PU151" s="228"/>
      <c r="PV151" s="228"/>
      <c r="PW151" s="228"/>
      <c r="PX151" s="228"/>
      <c r="PY151" s="228"/>
      <c r="PZ151" s="228"/>
      <c r="QA151" s="228"/>
      <c r="QB151" s="228"/>
      <c r="QC151" s="228"/>
      <c r="QD151" s="228"/>
      <c r="QE151" s="228"/>
      <c r="QF151" s="228"/>
      <c r="QG151" s="228"/>
      <c r="QH151" s="228"/>
      <c r="QI151" s="228"/>
      <c r="QJ151" s="228"/>
      <c r="QK151" s="228"/>
      <c r="QL151" s="228"/>
      <c r="QM151" s="228"/>
      <c r="QN151" s="228"/>
      <c r="QO151" s="228"/>
      <c r="QP151" s="228"/>
      <c r="QQ151" s="228"/>
      <c r="QR151" s="228"/>
      <c r="QS151" s="228"/>
      <c r="QT151" s="228"/>
      <c r="QU151" s="228"/>
      <c r="QV151" s="228"/>
      <c r="QW151" s="228"/>
      <c r="QX151" s="228"/>
      <c r="QY151" s="228"/>
      <c r="QZ151" s="228"/>
      <c r="RA151" s="228"/>
      <c r="RB151" s="228"/>
      <c r="RC151" s="228"/>
      <c r="RD151" s="228"/>
      <c r="RE151" s="228"/>
      <c r="RF151" s="228"/>
      <c r="RG151" s="228"/>
      <c r="RH151" s="228"/>
      <c r="RI151" s="228"/>
      <c r="RJ151" s="228"/>
      <c r="RK151" s="228"/>
      <c r="RL151" s="228"/>
      <c r="RM151" s="228"/>
      <c r="RN151" s="228"/>
      <c r="RO151" s="228"/>
      <c r="RP151" s="228"/>
      <c r="RQ151" s="228"/>
      <c r="RR151" s="228"/>
      <c r="RS151" s="228"/>
      <c r="RT151" s="228"/>
      <c r="RU151" s="228"/>
      <c r="RV151" s="228"/>
      <c r="RW151" s="228"/>
      <c r="RX151" s="228"/>
      <c r="RY151" s="228"/>
      <c r="RZ151" s="228"/>
      <c r="SA151" s="228"/>
      <c r="SB151" s="228"/>
      <c r="SC151" s="228"/>
      <c r="SD151" s="228"/>
      <c r="SE151" s="228"/>
      <c r="SF151" s="228"/>
      <c r="SG151" s="228"/>
      <c r="SH151" s="228"/>
      <c r="SI151" s="228"/>
      <c r="SJ151" s="228"/>
      <c r="SK151" s="228"/>
      <c r="SL151" s="228"/>
      <c r="SM151" s="228"/>
      <c r="SN151" s="228"/>
      <c r="SO151" s="228"/>
      <c r="SP151" s="228"/>
      <c r="SQ151" s="228"/>
      <c r="SR151" s="228"/>
      <c r="SS151" s="228"/>
      <c r="ST151" s="228"/>
      <c r="SU151" s="228"/>
      <c r="SV151" s="228"/>
      <c r="SW151" s="228"/>
      <c r="SX151" s="228"/>
      <c r="SY151" s="228"/>
      <c r="SZ151" s="228"/>
      <c r="TA151" s="228"/>
      <c r="TB151" s="228"/>
      <c r="TC151" s="228"/>
      <c r="TD151" s="228"/>
      <c r="TE151" s="228"/>
      <c r="TF151" s="228"/>
      <c r="TG151" s="228"/>
      <c r="TH151" s="228"/>
      <c r="TI151" s="228"/>
      <c r="TJ151" s="228"/>
      <c r="TK151" s="228"/>
      <c r="TL151" s="228"/>
      <c r="TM151" s="228"/>
      <c r="TN151" s="228"/>
      <c r="TO151" s="228"/>
      <c r="TP151" s="228"/>
      <c r="TQ151" s="228"/>
      <c r="TR151" s="228"/>
      <c r="TS151" s="228"/>
      <c r="TT151" s="228"/>
      <c r="TU151" s="228"/>
    </row>
    <row r="152" spans="1:541" s="268" customFormat="1" outlineLevel="1" x14ac:dyDescent="0.25">
      <c r="A152" s="232">
        <v>17</v>
      </c>
      <c r="B152" s="193" t="s">
        <v>1075</v>
      </c>
      <c r="C152" s="5" t="s">
        <v>9</v>
      </c>
      <c r="D152" s="5" t="s">
        <v>1085</v>
      </c>
      <c r="E152" s="5" t="s">
        <v>100</v>
      </c>
      <c r="F152" s="213" t="s">
        <v>435</v>
      </c>
      <c r="G152" s="213" t="s">
        <v>1067</v>
      </c>
      <c r="H152" s="213" t="s">
        <v>1167</v>
      </c>
      <c r="I152" s="5"/>
      <c r="J152" s="5" t="s">
        <v>800</v>
      </c>
      <c r="K152" s="5" t="s">
        <v>487</v>
      </c>
      <c r="L152" s="5" t="s">
        <v>487</v>
      </c>
      <c r="M152" s="213" t="s">
        <v>487</v>
      </c>
      <c r="N152" s="213" t="s">
        <v>1161</v>
      </c>
      <c r="O152" s="213" t="s">
        <v>1158</v>
      </c>
      <c r="P152" s="213" t="s">
        <v>1162</v>
      </c>
      <c r="Q152" s="234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 s="228"/>
      <c r="AX152" s="228"/>
      <c r="AY152" s="228"/>
      <c r="AZ152" s="228"/>
      <c r="BA152" s="228"/>
      <c r="BB152" s="228"/>
      <c r="BC152" s="228"/>
      <c r="BD152" s="228"/>
      <c r="BE152" s="228"/>
      <c r="BF152" s="228"/>
      <c r="BG152" s="228"/>
      <c r="BH152" s="228"/>
      <c r="BI152" s="228"/>
      <c r="BJ152" s="228"/>
      <c r="BK152" s="228"/>
      <c r="BL152" s="228"/>
      <c r="BM152" s="228"/>
      <c r="BN152" s="228"/>
      <c r="BO152" s="228"/>
      <c r="BP152" s="228"/>
      <c r="BQ152" s="228"/>
      <c r="BR152" s="228"/>
      <c r="BS152" s="228"/>
      <c r="BT152" s="228"/>
      <c r="BU152" s="228"/>
      <c r="BV152" s="228"/>
      <c r="BW152" s="228"/>
      <c r="BX152" s="228"/>
      <c r="BY152" s="228"/>
      <c r="BZ152" s="228"/>
      <c r="CA152" s="228"/>
      <c r="CB152" s="228"/>
      <c r="CC152" s="228"/>
      <c r="CD152" s="228"/>
      <c r="CE152" s="228"/>
      <c r="CF152" s="228"/>
      <c r="CG152" s="228"/>
      <c r="CH152" s="228"/>
      <c r="CI152" s="228"/>
      <c r="CJ152" s="228"/>
      <c r="CK152" s="228"/>
      <c r="CL152" s="228"/>
      <c r="CM152" s="228"/>
      <c r="CN152" s="228"/>
      <c r="CO152" s="228"/>
      <c r="CP152" s="228"/>
      <c r="CQ152" s="228"/>
      <c r="CR152" s="228"/>
      <c r="CS152" s="228"/>
      <c r="CT152" s="228"/>
      <c r="CU152" s="228"/>
      <c r="CV152" s="228"/>
      <c r="CW152" s="228"/>
      <c r="CX152" s="228"/>
      <c r="CY152" s="228"/>
      <c r="CZ152" s="228"/>
      <c r="DA152" s="228"/>
      <c r="DB152" s="228"/>
      <c r="DC152" s="228"/>
      <c r="DD152" s="228"/>
      <c r="DE152" s="228"/>
      <c r="DF152" s="228"/>
      <c r="DG152" s="228"/>
      <c r="DH152" s="228"/>
      <c r="DI152" s="228"/>
      <c r="DJ152" s="228"/>
      <c r="DK152" s="228"/>
      <c r="DL152" s="228"/>
      <c r="DM152" s="228"/>
      <c r="DN152" s="228"/>
      <c r="DO152" s="228"/>
      <c r="DP152" s="228"/>
      <c r="DQ152" s="228"/>
      <c r="DR152" s="228"/>
      <c r="DS152" s="228"/>
      <c r="DT152" s="228"/>
      <c r="DU152" s="228"/>
      <c r="DV152" s="228"/>
      <c r="DW152" s="228"/>
      <c r="DX152" s="228"/>
      <c r="DY152" s="228"/>
      <c r="DZ152" s="228"/>
      <c r="EA152" s="228"/>
      <c r="EB152" s="228"/>
      <c r="EC152" s="228"/>
      <c r="ED152" s="228"/>
      <c r="EE152" s="228"/>
      <c r="EF152" s="228"/>
      <c r="EG152" s="228"/>
      <c r="EH152" s="228"/>
      <c r="EI152" s="228"/>
      <c r="EJ152" s="228"/>
      <c r="EK152" s="228"/>
      <c r="EL152" s="228"/>
      <c r="EM152" s="228"/>
      <c r="EN152" s="228"/>
      <c r="EO152" s="228"/>
      <c r="EP152" s="228"/>
      <c r="EQ152" s="228"/>
      <c r="ER152" s="228"/>
      <c r="ES152" s="228"/>
      <c r="ET152" s="228"/>
      <c r="EU152" s="228"/>
      <c r="EV152" s="228"/>
      <c r="EW152" s="228"/>
      <c r="EX152" s="228"/>
      <c r="EY152" s="228"/>
      <c r="EZ152" s="228"/>
      <c r="FA152" s="228"/>
      <c r="FB152" s="228"/>
      <c r="FC152" s="228"/>
      <c r="FD152" s="228"/>
      <c r="FE152" s="228"/>
      <c r="FF152" s="228"/>
      <c r="FG152" s="228"/>
      <c r="FH152" s="228"/>
      <c r="FI152" s="228"/>
      <c r="FJ152" s="228"/>
      <c r="FK152" s="228"/>
      <c r="FL152" s="228"/>
      <c r="FM152" s="228"/>
      <c r="FN152" s="228"/>
      <c r="FO152" s="228"/>
      <c r="FP152" s="228"/>
      <c r="FQ152" s="228"/>
      <c r="FR152" s="228"/>
      <c r="FS152" s="228"/>
      <c r="FT152" s="228"/>
      <c r="FU152" s="228"/>
      <c r="FV152" s="228"/>
      <c r="FW152" s="228"/>
      <c r="FX152" s="228"/>
      <c r="FY152" s="228"/>
      <c r="FZ152" s="228"/>
      <c r="GA152" s="228"/>
      <c r="GB152" s="228"/>
      <c r="GC152" s="228"/>
      <c r="GD152" s="228"/>
      <c r="GE152" s="228"/>
      <c r="GF152" s="228"/>
      <c r="GG152" s="228"/>
      <c r="GH152" s="228"/>
      <c r="GI152" s="228"/>
      <c r="GJ152" s="228"/>
      <c r="GK152" s="228"/>
      <c r="GL152" s="228"/>
      <c r="GM152" s="228"/>
      <c r="GN152" s="228"/>
      <c r="GO152" s="228"/>
      <c r="GP152" s="228"/>
      <c r="GQ152" s="228"/>
      <c r="GR152" s="228"/>
      <c r="GS152" s="228"/>
      <c r="GT152" s="228"/>
      <c r="GU152" s="228"/>
      <c r="GV152" s="228"/>
      <c r="GW152" s="228"/>
      <c r="GX152" s="228"/>
      <c r="GY152" s="228"/>
      <c r="GZ152" s="228"/>
      <c r="HA152" s="228"/>
      <c r="HB152" s="228"/>
      <c r="HC152" s="228"/>
      <c r="HD152" s="228"/>
      <c r="HE152" s="228"/>
      <c r="HF152" s="228"/>
      <c r="HG152" s="228"/>
      <c r="HH152" s="228"/>
      <c r="HI152" s="228"/>
      <c r="HJ152" s="228"/>
      <c r="HK152" s="228"/>
      <c r="HL152" s="228"/>
      <c r="HM152" s="228"/>
      <c r="HN152" s="228"/>
      <c r="HO152" s="228"/>
      <c r="HP152" s="228"/>
      <c r="HQ152" s="228"/>
      <c r="HR152" s="228"/>
      <c r="HS152" s="228"/>
      <c r="HT152" s="228"/>
      <c r="HU152" s="228"/>
      <c r="HV152" s="228"/>
      <c r="HW152" s="228"/>
      <c r="HX152" s="228"/>
      <c r="HY152" s="228"/>
      <c r="HZ152" s="228"/>
      <c r="IA152" s="228"/>
      <c r="IB152" s="228"/>
      <c r="IC152" s="228"/>
      <c r="ID152" s="228"/>
      <c r="IE152" s="228"/>
      <c r="IF152" s="228"/>
      <c r="IG152" s="228"/>
      <c r="IH152" s="228"/>
      <c r="II152" s="228"/>
      <c r="IJ152" s="228"/>
      <c r="IK152" s="228"/>
      <c r="IL152" s="228"/>
      <c r="IM152" s="228"/>
      <c r="IN152" s="228"/>
      <c r="IO152" s="228"/>
      <c r="IP152" s="228"/>
      <c r="IQ152" s="228"/>
      <c r="IR152" s="228"/>
      <c r="IS152" s="228"/>
      <c r="IT152" s="228"/>
      <c r="IU152" s="228"/>
      <c r="IV152" s="228"/>
      <c r="IW152" s="228"/>
      <c r="IX152" s="228"/>
      <c r="IY152" s="228"/>
      <c r="IZ152" s="228"/>
      <c r="JA152" s="228"/>
      <c r="JB152" s="228"/>
      <c r="JC152" s="228"/>
      <c r="JD152" s="228"/>
      <c r="JE152" s="228"/>
      <c r="JF152" s="228"/>
      <c r="JG152" s="228"/>
      <c r="JH152" s="228"/>
      <c r="JI152" s="228"/>
      <c r="JJ152" s="228"/>
      <c r="JK152" s="228"/>
      <c r="JL152" s="228"/>
      <c r="JM152" s="228"/>
      <c r="JN152" s="228"/>
      <c r="JO152" s="228"/>
      <c r="JP152" s="228"/>
      <c r="JQ152" s="228"/>
      <c r="JR152" s="228"/>
      <c r="JS152" s="228"/>
      <c r="JT152" s="228"/>
      <c r="JU152" s="228"/>
      <c r="JV152" s="228"/>
      <c r="JW152" s="228"/>
      <c r="JX152" s="228"/>
      <c r="JY152" s="228"/>
      <c r="JZ152" s="228"/>
      <c r="KA152" s="228"/>
      <c r="KB152" s="228"/>
      <c r="KC152" s="228"/>
      <c r="KD152" s="228"/>
      <c r="KE152" s="228"/>
      <c r="KF152" s="228"/>
      <c r="KG152" s="228"/>
      <c r="KH152" s="228"/>
      <c r="KI152" s="228"/>
      <c r="KJ152" s="228"/>
      <c r="KK152" s="228"/>
      <c r="KL152" s="228"/>
      <c r="KM152" s="228"/>
      <c r="KN152" s="228"/>
      <c r="KO152" s="228"/>
      <c r="KP152" s="228"/>
      <c r="KQ152" s="228"/>
      <c r="KR152" s="228"/>
      <c r="KS152" s="228"/>
      <c r="KT152" s="228"/>
      <c r="KU152" s="228"/>
      <c r="KV152" s="228"/>
      <c r="KW152" s="228"/>
      <c r="KX152" s="228"/>
      <c r="KY152" s="228"/>
      <c r="KZ152" s="228"/>
      <c r="LA152" s="228"/>
      <c r="LB152" s="228"/>
      <c r="LC152" s="228"/>
      <c r="LD152" s="228"/>
      <c r="LE152" s="228"/>
      <c r="LF152" s="228"/>
      <c r="LG152" s="228"/>
      <c r="LH152" s="228"/>
      <c r="LI152" s="228"/>
      <c r="LJ152" s="228"/>
      <c r="LK152" s="228"/>
      <c r="LL152" s="228"/>
      <c r="LM152" s="228"/>
      <c r="LN152" s="228"/>
      <c r="LO152" s="228"/>
      <c r="LP152" s="228"/>
      <c r="LQ152" s="228"/>
      <c r="LR152" s="228"/>
      <c r="LS152" s="228"/>
      <c r="LT152" s="228"/>
      <c r="LU152" s="228"/>
      <c r="LV152" s="228"/>
      <c r="LW152" s="228"/>
      <c r="LX152" s="228"/>
      <c r="LY152" s="228"/>
      <c r="LZ152" s="228"/>
      <c r="MA152" s="228"/>
      <c r="MB152" s="228"/>
      <c r="MC152" s="228"/>
      <c r="MD152" s="228"/>
      <c r="ME152" s="228"/>
      <c r="MF152" s="228"/>
      <c r="MG152" s="228"/>
      <c r="MH152" s="228"/>
      <c r="MI152" s="228"/>
      <c r="MJ152" s="228"/>
      <c r="MK152" s="228"/>
      <c r="ML152" s="228"/>
      <c r="MM152" s="228"/>
      <c r="MN152" s="228"/>
      <c r="MO152" s="228"/>
      <c r="MP152" s="228"/>
      <c r="MQ152" s="228"/>
      <c r="MR152" s="228"/>
      <c r="MS152" s="228"/>
      <c r="MT152" s="228"/>
      <c r="MU152" s="228"/>
      <c r="MV152" s="228"/>
      <c r="MW152" s="228"/>
      <c r="MX152" s="228"/>
      <c r="MY152" s="228"/>
      <c r="MZ152" s="228"/>
      <c r="NA152" s="228"/>
      <c r="NB152" s="228"/>
      <c r="NC152" s="228"/>
      <c r="ND152" s="228"/>
      <c r="NE152" s="228"/>
      <c r="NF152" s="228"/>
      <c r="NG152" s="228"/>
      <c r="NH152" s="228"/>
      <c r="NI152" s="228"/>
      <c r="NJ152" s="228"/>
      <c r="NK152" s="228"/>
      <c r="NL152" s="228"/>
      <c r="NM152" s="228"/>
      <c r="NN152" s="228"/>
      <c r="NO152" s="228"/>
      <c r="NP152" s="228"/>
      <c r="NQ152" s="228"/>
      <c r="NR152" s="228"/>
      <c r="NS152" s="228"/>
      <c r="NT152" s="228"/>
      <c r="NU152" s="228"/>
      <c r="NV152" s="228"/>
      <c r="NW152" s="228"/>
      <c r="NX152" s="228"/>
      <c r="NY152" s="228"/>
      <c r="NZ152" s="228"/>
      <c r="OA152" s="228"/>
      <c r="OB152" s="228"/>
      <c r="OC152" s="228"/>
      <c r="OD152" s="228"/>
      <c r="OE152" s="228"/>
      <c r="OF152" s="228"/>
      <c r="OG152" s="228"/>
      <c r="OH152" s="228"/>
      <c r="OI152" s="228"/>
      <c r="OJ152" s="228"/>
      <c r="OK152" s="228"/>
      <c r="OL152" s="228"/>
      <c r="OM152" s="228"/>
      <c r="ON152" s="228"/>
      <c r="OO152" s="228"/>
      <c r="OP152" s="228"/>
      <c r="OQ152" s="228"/>
      <c r="OR152" s="228"/>
      <c r="OS152" s="228"/>
      <c r="OT152" s="228"/>
      <c r="OU152" s="228"/>
      <c r="OV152" s="228"/>
      <c r="OW152" s="228"/>
      <c r="OX152" s="228"/>
      <c r="OY152" s="228"/>
      <c r="OZ152" s="228"/>
      <c r="PA152" s="228"/>
      <c r="PB152" s="228"/>
      <c r="PC152" s="228"/>
      <c r="PD152" s="228"/>
      <c r="PE152" s="228"/>
      <c r="PF152" s="228"/>
      <c r="PG152" s="228"/>
      <c r="PH152" s="228"/>
      <c r="PI152" s="228"/>
      <c r="PJ152" s="228"/>
      <c r="PK152" s="228"/>
      <c r="PL152" s="228"/>
      <c r="PM152" s="228"/>
      <c r="PN152" s="228"/>
      <c r="PO152" s="228"/>
      <c r="PP152" s="228"/>
      <c r="PQ152" s="228"/>
      <c r="PR152" s="228"/>
      <c r="PS152" s="228"/>
      <c r="PT152" s="228"/>
      <c r="PU152" s="228"/>
      <c r="PV152" s="228"/>
      <c r="PW152" s="228"/>
      <c r="PX152" s="228"/>
      <c r="PY152" s="228"/>
      <c r="PZ152" s="228"/>
      <c r="QA152" s="228"/>
      <c r="QB152" s="228"/>
      <c r="QC152" s="228"/>
      <c r="QD152" s="228"/>
      <c r="QE152" s="228"/>
      <c r="QF152" s="228"/>
      <c r="QG152" s="228"/>
      <c r="QH152" s="228"/>
      <c r="QI152" s="228"/>
      <c r="QJ152" s="228"/>
      <c r="QK152" s="228"/>
      <c r="QL152" s="228"/>
      <c r="QM152" s="228"/>
      <c r="QN152" s="228"/>
      <c r="QO152" s="228"/>
      <c r="QP152" s="228"/>
      <c r="QQ152" s="228"/>
      <c r="QR152" s="228"/>
      <c r="QS152" s="228"/>
      <c r="QT152" s="228"/>
      <c r="QU152" s="228"/>
      <c r="QV152" s="228"/>
      <c r="QW152" s="228"/>
      <c r="QX152" s="228"/>
      <c r="QY152" s="228"/>
      <c r="QZ152" s="228"/>
      <c r="RA152" s="228"/>
      <c r="RB152" s="228"/>
      <c r="RC152" s="228"/>
      <c r="RD152" s="228"/>
      <c r="RE152" s="228"/>
      <c r="RF152" s="228"/>
      <c r="RG152" s="228"/>
      <c r="RH152" s="228"/>
      <c r="RI152" s="228"/>
      <c r="RJ152" s="228"/>
      <c r="RK152" s="228"/>
      <c r="RL152" s="228"/>
      <c r="RM152" s="228"/>
      <c r="RN152" s="228"/>
      <c r="RO152" s="228"/>
      <c r="RP152" s="228"/>
      <c r="RQ152" s="228"/>
      <c r="RR152" s="228"/>
      <c r="RS152" s="228"/>
      <c r="RT152" s="228"/>
      <c r="RU152" s="228"/>
      <c r="RV152" s="228"/>
      <c r="RW152" s="228"/>
      <c r="RX152" s="228"/>
      <c r="RY152" s="228"/>
      <c r="RZ152" s="228"/>
      <c r="SA152" s="228"/>
      <c r="SB152" s="228"/>
      <c r="SC152" s="228"/>
      <c r="SD152" s="228"/>
      <c r="SE152" s="228"/>
      <c r="SF152" s="228"/>
      <c r="SG152" s="228"/>
      <c r="SH152" s="228"/>
      <c r="SI152" s="228"/>
      <c r="SJ152" s="228"/>
      <c r="SK152" s="228"/>
      <c r="SL152" s="228"/>
      <c r="SM152" s="228"/>
      <c r="SN152" s="228"/>
      <c r="SO152" s="228"/>
      <c r="SP152" s="228"/>
      <c r="SQ152" s="228"/>
      <c r="SR152" s="228"/>
      <c r="SS152" s="228"/>
      <c r="ST152" s="228"/>
      <c r="SU152" s="228"/>
      <c r="SV152" s="228"/>
      <c r="SW152" s="228"/>
      <c r="SX152" s="228"/>
      <c r="SY152" s="228"/>
      <c r="SZ152" s="228"/>
      <c r="TA152" s="228"/>
      <c r="TB152" s="228"/>
      <c r="TC152" s="228"/>
      <c r="TD152" s="228"/>
      <c r="TE152" s="228"/>
      <c r="TF152" s="228"/>
      <c r="TG152" s="228"/>
      <c r="TH152" s="228"/>
      <c r="TI152" s="228"/>
      <c r="TJ152" s="228"/>
      <c r="TK152" s="228"/>
      <c r="TL152" s="228"/>
      <c r="TM152" s="228"/>
      <c r="TN152" s="228"/>
      <c r="TO152" s="228"/>
      <c r="TP152" s="228"/>
      <c r="TQ152" s="228"/>
      <c r="TR152" s="228"/>
      <c r="TS152" s="228"/>
      <c r="TT152" s="228"/>
      <c r="TU152" s="228"/>
    </row>
    <row r="153" spans="1:541" s="268" customFormat="1" outlineLevel="1" x14ac:dyDescent="0.25">
      <c r="A153" s="232">
        <v>18</v>
      </c>
      <c r="B153" s="193" t="s">
        <v>1075</v>
      </c>
      <c r="C153" s="5" t="s">
        <v>825</v>
      </c>
      <c r="D153" s="5" t="s">
        <v>826</v>
      </c>
      <c r="E153" s="5" t="s">
        <v>100</v>
      </c>
      <c r="F153" s="213" t="s">
        <v>0</v>
      </c>
      <c r="G153" s="213" t="s">
        <v>792</v>
      </c>
      <c r="H153" s="213" t="s">
        <v>1167</v>
      </c>
      <c r="I153" s="5"/>
      <c r="J153" s="5" t="s">
        <v>0</v>
      </c>
      <c r="K153" s="5" t="s">
        <v>487</v>
      </c>
      <c r="L153" s="5" t="s">
        <v>487</v>
      </c>
      <c r="M153" s="213" t="s">
        <v>487</v>
      </c>
      <c r="N153" s="5" t="s">
        <v>1159</v>
      </c>
      <c r="O153" s="5" t="s">
        <v>1160</v>
      </c>
      <c r="P153" s="5" t="s">
        <v>1156</v>
      </c>
      <c r="Q153" s="234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 s="228"/>
      <c r="AX153" s="228"/>
      <c r="AY153" s="228"/>
      <c r="AZ153" s="228"/>
      <c r="BA153" s="228"/>
      <c r="BB153" s="228"/>
      <c r="BC153" s="228"/>
      <c r="BD153" s="228"/>
      <c r="BE153" s="228"/>
      <c r="BF153" s="228"/>
      <c r="BG153" s="228"/>
      <c r="BH153" s="228"/>
      <c r="BI153" s="228"/>
      <c r="BJ153" s="228"/>
      <c r="BK153" s="228"/>
      <c r="BL153" s="228"/>
      <c r="BM153" s="228"/>
      <c r="BN153" s="228"/>
      <c r="BO153" s="228"/>
      <c r="BP153" s="228"/>
      <c r="BQ153" s="228"/>
      <c r="BR153" s="228"/>
      <c r="BS153" s="228"/>
      <c r="BT153" s="228"/>
      <c r="BU153" s="228"/>
      <c r="BV153" s="228"/>
      <c r="BW153" s="228"/>
      <c r="BX153" s="228"/>
      <c r="BY153" s="228"/>
      <c r="BZ153" s="228"/>
      <c r="CA153" s="228"/>
      <c r="CB153" s="228"/>
      <c r="CC153" s="228"/>
      <c r="CD153" s="228"/>
      <c r="CE153" s="228"/>
      <c r="CF153" s="228"/>
      <c r="CG153" s="228"/>
      <c r="CH153" s="228"/>
      <c r="CI153" s="228"/>
      <c r="CJ153" s="228"/>
      <c r="CK153" s="228"/>
      <c r="CL153" s="228"/>
      <c r="CM153" s="228"/>
      <c r="CN153" s="228"/>
      <c r="CO153" s="228"/>
      <c r="CP153" s="228"/>
      <c r="CQ153" s="228"/>
      <c r="CR153" s="228"/>
      <c r="CS153" s="228"/>
      <c r="CT153" s="228"/>
      <c r="CU153" s="228"/>
      <c r="CV153" s="228"/>
      <c r="CW153" s="228"/>
      <c r="CX153" s="228"/>
      <c r="CY153" s="228"/>
      <c r="CZ153" s="228"/>
      <c r="DA153" s="228"/>
      <c r="DB153" s="228"/>
      <c r="DC153" s="228"/>
      <c r="DD153" s="228"/>
      <c r="DE153" s="228"/>
      <c r="DF153" s="228"/>
      <c r="DG153" s="228"/>
      <c r="DH153" s="228"/>
      <c r="DI153" s="228"/>
      <c r="DJ153" s="228"/>
      <c r="DK153" s="228"/>
      <c r="DL153" s="228"/>
      <c r="DM153" s="228"/>
      <c r="DN153" s="228"/>
      <c r="DO153" s="228"/>
      <c r="DP153" s="228"/>
      <c r="DQ153" s="228"/>
      <c r="DR153" s="228"/>
      <c r="DS153" s="228"/>
      <c r="DT153" s="228"/>
      <c r="DU153" s="228"/>
      <c r="DV153" s="228"/>
      <c r="DW153" s="228"/>
      <c r="DX153" s="228"/>
      <c r="DY153" s="228"/>
      <c r="DZ153" s="228"/>
      <c r="EA153" s="228"/>
      <c r="EB153" s="228"/>
      <c r="EC153" s="228"/>
      <c r="ED153" s="228"/>
      <c r="EE153" s="228"/>
      <c r="EF153" s="228"/>
      <c r="EG153" s="228"/>
      <c r="EH153" s="228"/>
      <c r="EI153" s="228"/>
      <c r="EJ153" s="228"/>
      <c r="EK153" s="228"/>
      <c r="EL153" s="228"/>
      <c r="EM153" s="228"/>
      <c r="EN153" s="228"/>
      <c r="EO153" s="228"/>
      <c r="EP153" s="228"/>
      <c r="EQ153" s="228"/>
      <c r="ER153" s="228"/>
      <c r="ES153" s="228"/>
      <c r="ET153" s="228"/>
      <c r="EU153" s="228"/>
      <c r="EV153" s="228"/>
      <c r="EW153" s="228"/>
      <c r="EX153" s="228"/>
      <c r="EY153" s="228"/>
      <c r="EZ153" s="228"/>
      <c r="FA153" s="228"/>
      <c r="FB153" s="228"/>
      <c r="FC153" s="228"/>
      <c r="FD153" s="228"/>
      <c r="FE153" s="228"/>
      <c r="FF153" s="228"/>
      <c r="FG153" s="228"/>
      <c r="FH153" s="228"/>
      <c r="FI153" s="228"/>
      <c r="FJ153" s="228"/>
      <c r="FK153" s="228"/>
      <c r="FL153" s="228"/>
      <c r="FM153" s="228"/>
      <c r="FN153" s="228"/>
      <c r="FO153" s="228"/>
      <c r="FP153" s="228"/>
      <c r="FQ153" s="228"/>
      <c r="FR153" s="228"/>
      <c r="FS153" s="228"/>
      <c r="FT153" s="228"/>
      <c r="FU153" s="228"/>
      <c r="FV153" s="228"/>
      <c r="FW153" s="228"/>
      <c r="FX153" s="228"/>
      <c r="FY153" s="228"/>
      <c r="FZ153" s="228"/>
      <c r="GA153" s="228"/>
      <c r="GB153" s="228"/>
      <c r="GC153" s="228"/>
      <c r="GD153" s="228"/>
      <c r="GE153" s="228"/>
      <c r="GF153" s="228"/>
      <c r="GG153" s="228"/>
      <c r="GH153" s="228"/>
      <c r="GI153" s="228"/>
      <c r="GJ153" s="228"/>
      <c r="GK153" s="228"/>
      <c r="GL153" s="228"/>
      <c r="GM153" s="228"/>
      <c r="GN153" s="228"/>
      <c r="GO153" s="228"/>
      <c r="GP153" s="228"/>
      <c r="GQ153" s="228"/>
      <c r="GR153" s="228"/>
      <c r="GS153" s="228"/>
      <c r="GT153" s="228"/>
      <c r="GU153" s="228"/>
      <c r="GV153" s="228"/>
      <c r="GW153" s="228"/>
      <c r="GX153" s="228"/>
      <c r="GY153" s="228"/>
      <c r="GZ153" s="228"/>
      <c r="HA153" s="228"/>
      <c r="HB153" s="228"/>
      <c r="HC153" s="228"/>
      <c r="HD153" s="228"/>
      <c r="HE153" s="228"/>
      <c r="HF153" s="228"/>
      <c r="HG153" s="228"/>
      <c r="HH153" s="228"/>
      <c r="HI153" s="228"/>
      <c r="HJ153" s="228"/>
      <c r="HK153" s="228"/>
      <c r="HL153" s="228"/>
      <c r="HM153" s="228"/>
      <c r="HN153" s="228"/>
      <c r="HO153" s="228"/>
      <c r="HP153" s="228"/>
      <c r="HQ153" s="228"/>
      <c r="HR153" s="228"/>
      <c r="HS153" s="228"/>
      <c r="HT153" s="228"/>
      <c r="HU153" s="228"/>
      <c r="HV153" s="228"/>
      <c r="HW153" s="228"/>
      <c r="HX153" s="228"/>
      <c r="HY153" s="228"/>
      <c r="HZ153" s="228"/>
      <c r="IA153" s="228"/>
      <c r="IB153" s="228"/>
      <c r="IC153" s="228"/>
      <c r="ID153" s="228"/>
      <c r="IE153" s="228"/>
      <c r="IF153" s="228"/>
      <c r="IG153" s="228"/>
      <c r="IH153" s="228"/>
      <c r="II153" s="228"/>
      <c r="IJ153" s="228"/>
      <c r="IK153" s="228"/>
      <c r="IL153" s="228"/>
      <c r="IM153" s="228"/>
      <c r="IN153" s="228"/>
      <c r="IO153" s="228"/>
      <c r="IP153" s="228"/>
      <c r="IQ153" s="228"/>
      <c r="IR153" s="228"/>
      <c r="IS153" s="228"/>
      <c r="IT153" s="228"/>
      <c r="IU153" s="228"/>
      <c r="IV153" s="228"/>
      <c r="IW153" s="228"/>
      <c r="IX153" s="228"/>
      <c r="IY153" s="228"/>
      <c r="IZ153" s="228"/>
      <c r="JA153" s="228"/>
      <c r="JB153" s="228"/>
      <c r="JC153" s="228"/>
      <c r="JD153" s="228"/>
      <c r="JE153" s="228"/>
      <c r="JF153" s="228"/>
      <c r="JG153" s="228"/>
      <c r="JH153" s="228"/>
      <c r="JI153" s="228"/>
      <c r="JJ153" s="228"/>
      <c r="JK153" s="228"/>
      <c r="JL153" s="228"/>
      <c r="JM153" s="228"/>
      <c r="JN153" s="228"/>
      <c r="JO153" s="228"/>
      <c r="JP153" s="228"/>
      <c r="JQ153" s="228"/>
      <c r="JR153" s="228"/>
      <c r="JS153" s="228"/>
      <c r="JT153" s="228"/>
      <c r="JU153" s="228"/>
      <c r="JV153" s="228"/>
      <c r="JW153" s="228"/>
      <c r="JX153" s="228"/>
      <c r="JY153" s="228"/>
      <c r="JZ153" s="228"/>
      <c r="KA153" s="228"/>
      <c r="KB153" s="228"/>
      <c r="KC153" s="228"/>
      <c r="KD153" s="228"/>
      <c r="KE153" s="228"/>
      <c r="KF153" s="228"/>
      <c r="KG153" s="228"/>
      <c r="KH153" s="228"/>
      <c r="KI153" s="228"/>
      <c r="KJ153" s="228"/>
      <c r="KK153" s="228"/>
      <c r="KL153" s="228"/>
      <c r="KM153" s="228"/>
      <c r="KN153" s="228"/>
      <c r="KO153" s="228"/>
      <c r="KP153" s="228"/>
      <c r="KQ153" s="228"/>
      <c r="KR153" s="228"/>
      <c r="KS153" s="228"/>
      <c r="KT153" s="228"/>
      <c r="KU153" s="228"/>
      <c r="KV153" s="228"/>
      <c r="KW153" s="228"/>
      <c r="KX153" s="228"/>
      <c r="KY153" s="228"/>
      <c r="KZ153" s="228"/>
      <c r="LA153" s="228"/>
      <c r="LB153" s="228"/>
      <c r="LC153" s="228"/>
      <c r="LD153" s="228"/>
      <c r="LE153" s="228"/>
      <c r="LF153" s="228"/>
      <c r="LG153" s="228"/>
      <c r="LH153" s="228"/>
      <c r="LI153" s="228"/>
      <c r="LJ153" s="228"/>
      <c r="LK153" s="228"/>
      <c r="LL153" s="228"/>
      <c r="LM153" s="228"/>
      <c r="LN153" s="228"/>
      <c r="LO153" s="228"/>
      <c r="LP153" s="228"/>
      <c r="LQ153" s="228"/>
      <c r="LR153" s="228"/>
      <c r="LS153" s="228"/>
      <c r="LT153" s="228"/>
      <c r="LU153" s="228"/>
      <c r="LV153" s="228"/>
      <c r="LW153" s="228"/>
      <c r="LX153" s="228"/>
      <c r="LY153" s="228"/>
      <c r="LZ153" s="228"/>
      <c r="MA153" s="228"/>
      <c r="MB153" s="228"/>
      <c r="MC153" s="228"/>
      <c r="MD153" s="228"/>
      <c r="ME153" s="228"/>
      <c r="MF153" s="228"/>
      <c r="MG153" s="228"/>
      <c r="MH153" s="228"/>
      <c r="MI153" s="228"/>
      <c r="MJ153" s="228"/>
      <c r="MK153" s="228"/>
      <c r="ML153" s="228"/>
      <c r="MM153" s="228"/>
      <c r="MN153" s="228"/>
      <c r="MO153" s="228"/>
      <c r="MP153" s="228"/>
      <c r="MQ153" s="228"/>
      <c r="MR153" s="228"/>
      <c r="MS153" s="228"/>
      <c r="MT153" s="228"/>
      <c r="MU153" s="228"/>
      <c r="MV153" s="228"/>
      <c r="MW153" s="228"/>
      <c r="MX153" s="228"/>
      <c r="MY153" s="228"/>
      <c r="MZ153" s="228"/>
      <c r="NA153" s="228"/>
      <c r="NB153" s="228"/>
      <c r="NC153" s="228"/>
      <c r="ND153" s="228"/>
      <c r="NE153" s="228"/>
      <c r="NF153" s="228"/>
      <c r="NG153" s="228"/>
      <c r="NH153" s="228"/>
      <c r="NI153" s="228"/>
      <c r="NJ153" s="228"/>
      <c r="NK153" s="228"/>
      <c r="NL153" s="228"/>
      <c r="NM153" s="228"/>
      <c r="NN153" s="228"/>
      <c r="NO153" s="228"/>
      <c r="NP153" s="228"/>
      <c r="NQ153" s="228"/>
      <c r="NR153" s="228"/>
      <c r="NS153" s="228"/>
      <c r="NT153" s="228"/>
      <c r="NU153" s="228"/>
      <c r="NV153" s="228"/>
      <c r="NW153" s="228"/>
      <c r="NX153" s="228"/>
      <c r="NY153" s="228"/>
      <c r="NZ153" s="228"/>
      <c r="OA153" s="228"/>
      <c r="OB153" s="228"/>
      <c r="OC153" s="228"/>
      <c r="OD153" s="228"/>
      <c r="OE153" s="228"/>
      <c r="OF153" s="228"/>
      <c r="OG153" s="228"/>
      <c r="OH153" s="228"/>
      <c r="OI153" s="228"/>
      <c r="OJ153" s="228"/>
      <c r="OK153" s="228"/>
      <c r="OL153" s="228"/>
      <c r="OM153" s="228"/>
      <c r="ON153" s="228"/>
      <c r="OO153" s="228"/>
      <c r="OP153" s="228"/>
      <c r="OQ153" s="228"/>
      <c r="OR153" s="228"/>
      <c r="OS153" s="228"/>
      <c r="OT153" s="228"/>
      <c r="OU153" s="228"/>
      <c r="OV153" s="228"/>
      <c r="OW153" s="228"/>
      <c r="OX153" s="228"/>
      <c r="OY153" s="228"/>
      <c r="OZ153" s="228"/>
      <c r="PA153" s="228"/>
      <c r="PB153" s="228"/>
      <c r="PC153" s="228"/>
      <c r="PD153" s="228"/>
      <c r="PE153" s="228"/>
      <c r="PF153" s="228"/>
      <c r="PG153" s="228"/>
      <c r="PH153" s="228"/>
      <c r="PI153" s="228"/>
      <c r="PJ153" s="228"/>
      <c r="PK153" s="228"/>
      <c r="PL153" s="228"/>
      <c r="PM153" s="228"/>
      <c r="PN153" s="228"/>
      <c r="PO153" s="228"/>
      <c r="PP153" s="228"/>
      <c r="PQ153" s="228"/>
      <c r="PR153" s="228"/>
      <c r="PS153" s="228"/>
      <c r="PT153" s="228"/>
      <c r="PU153" s="228"/>
      <c r="PV153" s="228"/>
      <c r="PW153" s="228"/>
      <c r="PX153" s="228"/>
      <c r="PY153" s="228"/>
      <c r="PZ153" s="228"/>
      <c r="QA153" s="228"/>
      <c r="QB153" s="228"/>
      <c r="QC153" s="228"/>
      <c r="QD153" s="228"/>
      <c r="QE153" s="228"/>
      <c r="QF153" s="228"/>
      <c r="QG153" s="228"/>
      <c r="QH153" s="228"/>
      <c r="QI153" s="228"/>
      <c r="QJ153" s="228"/>
      <c r="QK153" s="228"/>
      <c r="QL153" s="228"/>
      <c r="QM153" s="228"/>
      <c r="QN153" s="228"/>
      <c r="QO153" s="228"/>
      <c r="QP153" s="228"/>
      <c r="QQ153" s="228"/>
      <c r="QR153" s="228"/>
      <c r="QS153" s="228"/>
      <c r="QT153" s="228"/>
      <c r="QU153" s="228"/>
      <c r="QV153" s="228"/>
      <c r="QW153" s="228"/>
      <c r="QX153" s="228"/>
      <c r="QY153" s="228"/>
      <c r="QZ153" s="228"/>
      <c r="RA153" s="228"/>
      <c r="RB153" s="228"/>
      <c r="RC153" s="228"/>
      <c r="RD153" s="228"/>
      <c r="RE153" s="228"/>
      <c r="RF153" s="228"/>
      <c r="RG153" s="228"/>
      <c r="RH153" s="228"/>
      <c r="RI153" s="228"/>
      <c r="RJ153" s="228"/>
      <c r="RK153" s="228"/>
      <c r="RL153" s="228"/>
      <c r="RM153" s="228"/>
      <c r="RN153" s="228"/>
      <c r="RO153" s="228"/>
      <c r="RP153" s="228"/>
      <c r="RQ153" s="228"/>
      <c r="RR153" s="228"/>
      <c r="RS153" s="228"/>
      <c r="RT153" s="228"/>
      <c r="RU153" s="228"/>
      <c r="RV153" s="228"/>
      <c r="RW153" s="228"/>
      <c r="RX153" s="228"/>
      <c r="RY153" s="228"/>
      <c r="RZ153" s="228"/>
      <c r="SA153" s="228"/>
      <c r="SB153" s="228"/>
      <c r="SC153" s="228"/>
      <c r="SD153" s="228"/>
      <c r="SE153" s="228"/>
      <c r="SF153" s="228"/>
      <c r="SG153" s="228"/>
      <c r="SH153" s="228"/>
      <c r="SI153" s="228"/>
      <c r="SJ153" s="228"/>
      <c r="SK153" s="228"/>
      <c r="SL153" s="228"/>
      <c r="SM153" s="228"/>
      <c r="SN153" s="228"/>
      <c r="SO153" s="228"/>
      <c r="SP153" s="228"/>
      <c r="SQ153" s="228"/>
      <c r="SR153" s="228"/>
      <c r="SS153" s="228"/>
      <c r="ST153" s="228"/>
      <c r="SU153" s="228"/>
      <c r="SV153" s="228"/>
      <c r="SW153" s="228"/>
      <c r="SX153" s="228"/>
      <c r="SY153" s="228"/>
      <c r="SZ153" s="228"/>
      <c r="TA153" s="228"/>
      <c r="TB153" s="228"/>
      <c r="TC153" s="228"/>
      <c r="TD153" s="228"/>
      <c r="TE153" s="228"/>
      <c r="TF153" s="228"/>
      <c r="TG153" s="228"/>
      <c r="TH153" s="228"/>
      <c r="TI153" s="228"/>
      <c r="TJ153" s="228"/>
      <c r="TK153" s="228"/>
      <c r="TL153" s="228"/>
      <c r="TM153" s="228"/>
      <c r="TN153" s="228"/>
      <c r="TO153" s="228"/>
      <c r="TP153" s="228"/>
      <c r="TQ153" s="228"/>
      <c r="TR153" s="228"/>
      <c r="TS153" s="228"/>
      <c r="TT153" s="228"/>
      <c r="TU153" s="228"/>
    </row>
    <row r="154" spans="1:541" s="268" customFormat="1" outlineLevel="1" x14ac:dyDescent="0.25">
      <c r="A154" s="232">
        <v>19</v>
      </c>
      <c r="B154" s="193" t="s">
        <v>1075</v>
      </c>
      <c r="C154" s="5" t="s">
        <v>668</v>
      </c>
      <c r="D154" s="5" t="s">
        <v>829</v>
      </c>
      <c r="E154" s="5" t="s">
        <v>830</v>
      </c>
      <c r="F154" s="213" t="s">
        <v>0</v>
      </c>
      <c r="G154" s="213" t="s">
        <v>1067</v>
      </c>
      <c r="H154" s="213" t="s">
        <v>1167</v>
      </c>
      <c r="I154" s="5"/>
      <c r="J154" s="5" t="s">
        <v>0</v>
      </c>
      <c r="K154" s="5" t="s">
        <v>487</v>
      </c>
      <c r="L154" s="5" t="s">
        <v>487</v>
      </c>
      <c r="M154" s="213" t="s">
        <v>487</v>
      </c>
      <c r="N154" s="5" t="s">
        <v>1159</v>
      </c>
      <c r="O154" s="5" t="s">
        <v>1160</v>
      </c>
      <c r="P154" s="5" t="s">
        <v>1156</v>
      </c>
      <c r="Q154" s="234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 s="228"/>
      <c r="AX154" s="228"/>
      <c r="AY154" s="228"/>
      <c r="AZ154" s="228"/>
      <c r="BA154" s="228"/>
      <c r="BB154" s="228"/>
      <c r="BC154" s="228"/>
      <c r="BD154" s="228"/>
      <c r="BE154" s="228"/>
      <c r="BF154" s="228"/>
      <c r="BG154" s="228"/>
      <c r="BH154" s="228"/>
      <c r="BI154" s="228"/>
      <c r="BJ154" s="228"/>
      <c r="BK154" s="228"/>
      <c r="BL154" s="228"/>
      <c r="BM154" s="228"/>
      <c r="BN154" s="228"/>
      <c r="BO154" s="228"/>
      <c r="BP154" s="228"/>
      <c r="BQ154" s="228"/>
      <c r="BR154" s="228"/>
      <c r="BS154" s="228"/>
      <c r="BT154" s="228"/>
      <c r="BU154" s="228"/>
      <c r="BV154" s="228"/>
      <c r="BW154" s="228"/>
      <c r="BX154" s="228"/>
      <c r="BY154" s="228"/>
      <c r="BZ154" s="228"/>
      <c r="CA154" s="228"/>
      <c r="CB154" s="228"/>
      <c r="CC154" s="228"/>
      <c r="CD154" s="228"/>
      <c r="CE154" s="228"/>
      <c r="CF154" s="228"/>
      <c r="CG154" s="228"/>
      <c r="CH154" s="228"/>
      <c r="CI154" s="228"/>
      <c r="CJ154" s="228"/>
      <c r="CK154" s="228"/>
      <c r="CL154" s="228"/>
      <c r="CM154" s="228"/>
      <c r="CN154" s="228"/>
      <c r="CO154" s="228"/>
      <c r="CP154" s="228"/>
      <c r="CQ154" s="228"/>
      <c r="CR154" s="228"/>
      <c r="CS154" s="228"/>
      <c r="CT154" s="228"/>
      <c r="CU154" s="228"/>
      <c r="CV154" s="228"/>
      <c r="CW154" s="228"/>
      <c r="CX154" s="228"/>
      <c r="CY154" s="228"/>
      <c r="CZ154" s="228"/>
      <c r="DA154" s="228"/>
      <c r="DB154" s="228"/>
      <c r="DC154" s="228"/>
      <c r="DD154" s="228"/>
      <c r="DE154" s="228"/>
      <c r="DF154" s="228"/>
      <c r="DG154" s="228"/>
      <c r="DH154" s="228"/>
      <c r="DI154" s="228"/>
      <c r="DJ154" s="228"/>
      <c r="DK154" s="228"/>
      <c r="DL154" s="228"/>
      <c r="DM154" s="228"/>
      <c r="DN154" s="228"/>
      <c r="DO154" s="228"/>
      <c r="DP154" s="228"/>
      <c r="DQ154" s="228"/>
      <c r="DR154" s="228"/>
      <c r="DS154" s="228"/>
      <c r="DT154" s="228"/>
      <c r="DU154" s="228"/>
      <c r="DV154" s="228"/>
      <c r="DW154" s="228"/>
      <c r="DX154" s="228"/>
      <c r="DY154" s="228"/>
      <c r="DZ154" s="228"/>
      <c r="EA154" s="228"/>
      <c r="EB154" s="228"/>
      <c r="EC154" s="228"/>
      <c r="ED154" s="228"/>
      <c r="EE154" s="228"/>
      <c r="EF154" s="228"/>
      <c r="EG154" s="228"/>
      <c r="EH154" s="228"/>
      <c r="EI154" s="228"/>
      <c r="EJ154" s="228"/>
      <c r="EK154" s="228"/>
      <c r="EL154" s="228"/>
      <c r="EM154" s="228"/>
      <c r="EN154" s="228"/>
      <c r="EO154" s="228"/>
      <c r="EP154" s="228"/>
      <c r="EQ154" s="228"/>
      <c r="ER154" s="228"/>
      <c r="ES154" s="228"/>
      <c r="ET154" s="228"/>
      <c r="EU154" s="228"/>
      <c r="EV154" s="228"/>
      <c r="EW154" s="228"/>
      <c r="EX154" s="228"/>
      <c r="EY154" s="228"/>
      <c r="EZ154" s="228"/>
      <c r="FA154" s="228"/>
      <c r="FB154" s="228"/>
      <c r="FC154" s="228"/>
      <c r="FD154" s="228"/>
      <c r="FE154" s="228"/>
      <c r="FF154" s="228"/>
      <c r="FG154" s="228"/>
      <c r="FH154" s="228"/>
      <c r="FI154" s="228"/>
      <c r="FJ154" s="228"/>
      <c r="FK154" s="228"/>
      <c r="FL154" s="228"/>
      <c r="FM154" s="228"/>
      <c r="FN154" s="228"/>
      <c r="FO154" s="228"/>
      <c r="FP154" s="228"/>
      <c r="FQ154" s="228"/>
      <c r="FR154" s="228"/>
      <c r="FS154" s="228"/>
      <c r="FT154" s="228"/>
      <c r="FU154" s="228"/>
      <c r="FV154" s="228"/>
      <c r="FW154" s="228"/>
      <c r="FX154" s="228"/>
      <c r="FY154" s="228"/>
      <c r="FZ154" s="228"/>
      <c r="GA154" s="228"/>
      <c r="GB154" s="228"/>
      <c r="GC154" s="228"/>
      <c r="GD154" s="228"/>
      <c r="GE154" s="228"/>
      <c r="GF154" s="228"/>
      <c r="GG154" s="228"/>
      <c r="GH154" s="228"/>
      <c r="GI154" s="228"/>
      <c r="GJ154" s="228"/>
      <c r="GK154" s="228"/>
      <c r="GL154" s="228"/>
      <c r="GM154" s="228"/>
      <c r="GN154" s="228"/>
      <c r="GO154" s="228"/>
      <c r="GP154" s="228"/>
      <c r="GQ154" s="228"/>
      <c r="GR154" s="228"/>
      <c r="GS154" s="228"/>
      <c r="GT154" s="228"/>
      <c r="GU154" s="228"/>
      <c r="GV154" s="228"/>
      <c r="GW154" s="228"/>
      <c r="GX154" s="228"/>
      <c r="GY154" s="228"/>
      <c r="GZ154" s="228"/>
      <c r="HA154" s="228"/>
      <c r="HB154" s="228"/>
      <c r="HC154" s="228"/>
      <c r="HD154" s="228"/>
      <c r="HE154" s="228"/>
      <c r="HF154" s="228"/>
      <c r="HG154" s="228"/>
      <c r="HH154" s="228"/>
      <c r="HI154" s="228"/>
      <c r="HJ154" s="228"/>
      <c r="HK154" s="228"/>
      <c r="HL154" s="228"/>
      <c r="HM154" s="228"/>
      <c r="HN154" s="228"/>
      <c r="HO154" s="228"/>
      <c r="HP154" s="228"/>
      <c r="HQ154" s="228"/>
      <c r="HR154" s="228"/>
      <c r="HS154" s="228"/>
      <c r="HT154" s="228"/>
      <c r="HU154" s="228"/>
      <c r="HV154" s="228"/>
      <c r="HW154" s="228"/>
      <c r="HX154" s="228"/>
      <c r="HY154" s="228"/>
      <c r="HZ154" s="228"/>
      <c r="IA154" s="228"/>
      <c r="IB154" s="228"/>
      <c r="IC154" s="228"/>
      <c r="ID154" s="228"/>
      <c r="IE154" s="228"/>
      <c r="IF154" s="228"/>
      <c r="IG154" s="228"/>
      <c r="IH154" s="228"/>
      <c r="II154" s="228"/>
      <c r="IJ154" s="228"/>
      <c r="IK154" s="228"/>
      <c r="IL154" s="228"/>
      <c r="IM154" s="228"/>
      <c r="IN154" s="228"/>
      <c r="IO154" s="228"/>
      <c r="IP154" s="228"/>
      <c r="IQ154" s="228"/>
      <c r="IR154" s="228"/>
      <c r="IS154" s="228"/>
      <c r="IT154" s="228"/>
      <c r="IU154" s="228"/>
      <c r="IV154" s="228"/>
      <c r="IW154" s="228"/>
      <c r="IX154" s="228"/>
      <c r="IY154" s="228"/>
      <c r="IZ154" s="228"/>
      <c r="JA154" s="228"/>
      <c r="JB154" s="228"/>
      <c r="JC154" s="228"/>
      <c r="JD154" s="228"/>
      <c r="JE154" s="228"/>
      <c r="JF154" s="228"/>
      <c r="JG154" s="228"/>
      <c r="JH154" s="228"/>
      <c r="JI154" s="228"/>
      <c r="JJ154" s="228"/>
      <c r="JK154" s="228"/>
      <c r="JL154" s="228"/>
      <c r="JM154" s="228"/>
      <c r="JN154" s="228"/>
      <c r="JO154" s="228"/>
      <c r="JP154" s="228"/>
      <c r="JQ154" s="228"/>
      <c r="JR154" s="228"/>
      <c r="JS154" s="228"/>
      <c r="JT154" s="228"/>
      <c r="JU154" s="228"/>
      <c r="JV154" s="228"/>
      <c r="JW154" s="228"/>
      <c r="JX154" s="228"/>
      <c r="JY154" s="228"/>
      <c r="JZ154" s="228"/>
      <c r="KA154" s="228"/>
      <c r="KB154" s="228"/>
      <c r="KC154" s="228"/>
      <c r="KD154" s="228"/>
      <c r="KE154" s="228"/>
      <c r="KF154" s="228"/>
      <c r="KG154" s="228"/>
      <c r="KH154" s="228"/>
      <c r="KI154" s="228"/>
      <c r="KJ154" s="228"/>
      <c r="KK154" s="228"/>
      <c r="KL154" s="228"/>
      <c r="KM154" s="228"/>
      <c r="KN154" s="228"/>
      <c r="KO154" s="228"/>
      <c r="KP154" s="228"/>
      <c r="KQ154" s="228"/>
      <c r="KR154" s="228"/>
      <c r="KS154" s="228"/>
      <c r="KT154" s="228"/>
      <c r="KU154" s="228"/>
      <c r="KV154" s="228"/>
      <c r="KW154" s="228"/>
      <c r="KX154" s="228"/>
      <c r="KY154" s="228"/>
      <c r="KZ154" s="228"/>
      <c r="LA154" s="228"/>
      <c r="LB154" s="228"/>
      <c r="LC154" s="228"/>
      <c r="LD154" s="228"/>
      <c r="LE154" s="228"/>
      <c r="LF154" s="228"/>
      <c r="LG154" s="228"/>
      <c r="LH154" s="228"/>
      <c r="LI154" s="228"/>
      <c r="LJ154" s="228"/>
      <c r="LK154" s="228"/>
      <c r="LL154" s="228"/>
      <c r="LM154" s="228"/>
      <c r="LN154" s="228"/>
      <c r="LO154" s="228"/>
      <c r="LP154" s="228"/>
      <c r="LQ154" s="228"/>
      <c r="LR154" s="228"/>
      <c r="LS154" s="228"/>
      <c r="LT154" s="228"/>
      <c r="LU154" s="228"/>
      <c r="LV154" s="228"/>
      <c r="LW154" s="228"/>
      <c r="LX154" s="228"/>
      <c r="LY154" s="228"/>
      <c r="LZ154" s="228"/>
      <c r="MA154" s="228"/>
      <c r="MB154" s="228"/>
      <c r="MC154" s="228"/>
      <c r="MD154" s="228"/>
      <c r="ME154" s="228"/>
      <c r="MF154" s="228"/>
      <c r="MG154" s="228"/>
      <c r="MH154" s="228"/>
      <c r="MI154" s="228"/>
      <c r="MJ154" s="228"/>
      <c r="MK154" s="228"/>
      <c r="ML154" s="228"/>
      <c r="MM154" s="228"/>
      <c r="MN154" s="228"/>
      <c r="MO154" s="228"/>
      <c r="MP154" s="228"/>
      <c r="MQ154" s="228"/>
      <c r="MR154" s="228"/>
      <c r="MS154" s="228"/>
      <c r="MT154" s="228"/>
      <c r="MU154" s="228"/>
      <c r="MV154" s="228"/>
      <c r="MW154" s="228"/>
      <c r="MX154" s="228"/>
      <c r="MY154" s="228"/>
      <c r="MZ154" s="228"/>
      <c r="NA154" s="228"/>
      <c r="NB154" s="228"/>
      <c r="NC154" s="228"/>
      <c r="ND154" s="228"/>
      <c r="NE154" s="228"/>
      <c r="NF154" s="228"/>
      <c r="NG154" s="228"/>
      <c r="NH154" s="228"/>
      <c r="NI154" s="228"/>
      <c r="NJ154" s="228"/>
      <c r="NK154" s="228"/>
      <c r="NL154" s="228"/>
      <c r="NM154" s="228"/>
      <c r="NN154" s="228"/>
      <c r="NO154" s="228"/>
      <c r="NP154" s="228"/>
      <c r="NQ154" s="228"/>
      <c r="NR154" s="228"/>
      <c r="NS154" s="228"/>
      <c r="NT154" s="228"/>
      <c r="NU154" s="228"/>
      <c r="NV154" s="228"/>
      <c r="NW154" s="228"/>
      <c r="NX154" s="228"/>
      <c r="NY154" s="228"/>
      <c r="NZ154" s="228"/>
      <c r="OA154" s="228"/>
      <c r="OB154" s="228"/>
      <c r="OC154" s="228"/>
      <c r="OD154" s="228"/>
      <c r="OE154" s="228"/>
      <c r="OF154" s="228"/>
      <c r="OG154" s="228"/>
      <c r="OH154" s="228"/>
      <c r="OI154" s="228"/>
      <c r="OJ154" s="228"/>
      <c r="OK154" s="228"/>
      <c r="OL154" s="228"/>
      <c r="OM154" s="228"/>
      <c r="ON154" s="228"/>
      <c r="OO154" s="228"/>
      <c r="OP154" s="228"/>
      <c r="OQ154" s="228"/>
      <c r="OR154" s="228"/>
      <c r="OS154" s="228"/>
      <c r="OT154" s="228"/>
      <c r="OU154" s="228"/>
      <c r="OV154" s="228"/>
      <c r="OW154" s="228"/>
      <c r="OX154" s="228"/>
      <c r="OY154" s="228"/>
      <c r="OZ154" s="228"/>
      <c r="PA154" s="228"/>
      <c r="PB154" s="228"/>
      <c r="PC154" s="228"/>
      <c r="PD154" s="228"/>
      <c r="PE154" s="228"/>
      <c r="PF154" s="228"/>
      <c r="PG154" s="228"/>
      <c r="PH154" s="228"/>
      <c r="PI154" s="228"/>
      <c r="PJ154" s="228"/>
      <c r="PK154" s="228"/>
      <c r="PL154" s="228"/>
      <c r="PM154" s="228"/>
      <c r="PN154" s="228"/>
      <c r="PO154" s="228"/>
      <c r="PP154" s="228"/>
      <c r="PQ154" s="228"/>
      <c r="PR154" s="228"/>
      <c r="PS154" s="228"/>
      <c r="PT154" s="228"/>
      <c r="PU154" s="228"/>
      <c r="PV154" s="228"/>
      <c r="PW154" s="228"/>
      <c r="PX154" s="228"/>
      <c r="PY154" s="228"/>
      <c r="PZ154" s="228"/>
      <c r="QA154" s="228"/>
      <c r="QB154" s="228"/>
      <c r="QC154" s="228"/>
      <c r="QD154" s="228"/>
      <c r="QE154" s="228"/>
      <c r="QF154" s="228"/>
      <c r="QG154" s="228"/>
      <c r="QH154" s="228"/>
      <c r="QI154" s="228"/>
      <c r="QJ154" s="228"/>
      <c r="QK154" s="228"/>
      <c r="QL154" s="228"/>
      <c r="QM154" s="228"/>
      <c r="QN154" s="228"/>
      <c r="QO154" s="228"/>
      <c r="QP154" s="228"/>
      <c r="QQ154" s="228"/>
      <c r="QR154" s="228"/>
      <c r="QS154" s="228"/>
      <c r="QT154" s="228"/>
      <c r="QU154" s="228"/>
      <c r="QV154" s="228"/>
      <c r="QW154" s="228"/>
      <c r="QX154" s="228"/>
      <c r="QY154" s="228"/>
      <c r="QZ154" s="228"/>
      <c r="RA154" s="228"/>
      <c r="RB154" s="228"/>
      <c r="RC154" s="228"/>
      <c r="RD154" s="228"/>
      <c r="RE154" s="228"/>
      <c r="RF154" s="228"/>
      <c r="RG154" s="228"/>
      <c r="RH154" s="228"/>
      <c r="RI154" s="228"/>
      <c r="RJ154" s="228"/>
      <c r="RK154" s="228"/>
      <c r="RL154" s="228"/>
      <c r="RM154" s="228"/>
      <c r="RN154" s="228"/>
      <c r="RO154" s="228"/>
      <c r="RP154" s="228"/>
      <c r="RQ154" s="228"/>
      <c r="RR154" s="228"/>
      <c r="RS154" s="228"/>
      <c r="RT154" s="228"/>
      <c r="RU154" s="228"/>
      <c r="RV154" s="228"/>
      <c r="RW154" s="228"/>
      <c r="RX154" s="228"/>
      <c r="RY154" s="228"/>
      <c r="RZ154" s="228"/>
      <c r="SA154" s="228"/>
      <c r="SB154" s="228"/>
      <c r="SC154" s="228"/>
      <c r="SD154" s="228"/>
      <c r="SE154" s="228"/>
      <c r="SF154" s="228"/>
      <c r="SG154" s="228"/>
      <c r="SH154" s="228"/>
      <c r="SI154" s="228"/>
      <c r="SJ154" s="228"/>
      <c r="SK154" s="228"/>
      <c r="SL154" s="228"/>
      <c r="SM154" s="228"/>
      <c r="SN154" s="228"/>
      <c r="SO154" s="228"/>
      <c r="SP154" s="228"/>
      <c r="SQ154" s="228"/>
      <c r="SR154" s="228"/>
      <c r="SS154" s="228"/>
      <c r="ST154" s="228"/>
      <c r="SU154" s="228"/>
      <c r="SV154" s="228"/>
      <c r="SW154" s="228"/>
      <c r="SX154" s="228"/>
      <c r="SY154" s="228"/>
      <c r="SZ154" s="228"/>
      <c r="TA154" s="228"/>
      <c r="TB154" s="228"/>
      <c r="TC154" s="228"/>
      <c r="TD154" s="228"/>
      <c r="TE154" s="228"/>
      <c r="TF154" s="228"/>
      <c r="TG154" s="228"/>
      <c r="TH154" s="228"/>
      <c r="TI154" s="228"/>
      <c r="TJ154" s="228"/>
      <c r="TK154" s="228"/>
      <c r="TL154" s="228"/>
      <c r="TM154" s="228"/>
      <c r="TN154" s="228"/>
      <c r="TO154" s="228"/>
      <c r="TP154" s="228"/>
      <c r="TQ154" s="228"/>
      <c r="TR154" s="228"/>
      <c r="TS154" s="228"/>
      <c r="TT154" s="228"/>
      <c r="TU154" s="228"/>
    </row>
    <row r="155" spans="1:541" s="268" customFormat="1" outlineLevel="1" x14ac:dyDescent="0.25">
      <c r="A155" s="232">
        <v>20</v>
      </c>
      <c r="B155" s="193" t="s">
        <v>1075</v>
      </c>
      <c r="C155" s="5" t="s">
        <v>668</v>
      </c>
      <c r="D155" s="193" t="s">
        <v>828</v>
      </c>
      <c r="E155" s="5" t="s">
        <v>844</v>
      </c>
      <c r="F155" s="213" t="s">
        <v>0</v>
      </c>
      <c r="G155" s="213" t="s">
        <v>1067</v>
      </c>
      <c r="H155" s="213" t="s">
        <v>1167</v>
      </c>
      <c r="I155" s="5"/>
      <c r="J155" s="5" t="s">
        <v>0</v>
      </c>
      <c r="K155" s="5" t="s">
        <v>487</v>
      </c>
      <c r="L155" s="5" t="s">
        <v>487</v>
      </c>
      <c r="M155" s="213" t="s">
        <v>487</v>
      </c>
      <c r="N155" s="5" t="s">
        <v>1159</v>
      </c>
      <c r="O155" s="5" t="s">
        <v>1160</v>
      </c>
      <c r="P155" s="5" t="s">
        <v>1156</v>
      </c>
      <c r="Q155" s="234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 s="228"/>
      <c r="AX155" s="228"/>
      <c r="AY155" s="228"/>
      <c r="AZ155" s="228"/>
      <c r="BA155" s="228"/>
      <c r="BB155" s="228"/>
      <c r="BC155" s="228"/>
      <c r="BD155" s="228"/>
      <c r="BE155" s="228"/>
      <c r="BF155" s="228"/>
      <c r="BG155" s="228"/>
      <c r="BH155" s="228"/>
      <c r="BI155" s="228"/>
      <c r="BJ155" s="228"/>
      <c r="BK155" s="228"/>
      <c r="BL155" s="228"/>
      <c r="BM155" s="228"/>
      <c r="BN155" s="228"/>
      <c r="BO155" s="228"/>
      <c r="BP155" s="228"/>
      <c r="BQ155" s="228"/>
      <c r="BR155" s="228"/>
      <c r="BS155" s="228"/>
      <c r="BT155" s="228"/>
      <c r="BU155" s="228"/>
      <c r="BV155" s="228"/>
      <c r="BW155" s="228"/>
      <c r="BX155" s="228"/>
      <c r="BY155" s="228"/>
      <c r="BZ155" s="228"/>
      <c r="CA155" s="228"/>
      <c r="CB155" s="228"/>
      <c r="CC155" s="228"/>
      <c r="CD155" s="228"/>
      <c r="CE155" s="228"/>
      <c r="CF155" s="228"/>
      <c r="CG155" s="228"/>
      <c r="CH155" s="228"/>
      <c r="CI155" s="228"/>
      <c r="CJ155" s="228"/>
      <c r="CK155" s="228"/>
      <c r="CL155" s="228"/>
      <c r="CM155" s="228"/>
      <c r="CN155" s="228"/>
      <c r="CO155" s="228"/>
      <c r="CP155" s="228"/>
      <c r="CQ155" s="228"/>
      <c r="CR155" s="228"/>
      <c r="CS155" s="228"/>
      <c r="CT155" s="228"/>
      <c r="CU155" s="228"/>
      <c r="CV155" s="228"/>
      <c r="CW155" s="228"/>
      <c r="CX155" s="228"/>
      <c r="CY155" s="228"/>
      <c r="CZ155" s="228"/>
      <c r="DA155" s="228"/>
      <c r="DB155" s="228"/>
      <c r="DC155" s="228"/>
      <c r="DD155" s="228"/>
      <c r="DE155" s="228"/>
      <c r="DF155" s="228"/>
      <c r="DG155" s="228"/>
      <c r="DH155" s="228"/>
      <c r="DI155" s="228"/>
      <c r="DJ155" s="228"/>
      <c r="DK155" s="228"/>
      <c r="DL155" s="228"/>
      <c r="DM155" s="228"/>
      <c r="DN155" s="228"/>
      <c r="DO155" s="228"/>
      <c r="DP155" s="228"/>
      <c r="DQ155" s="228"/>
      <c r="DR155" s="228"/>
      <c r="DS155" s="228"/>
      <c r="DT155" s="228"/>
      <c r="DU155" s="228"/>
      <c r="DV155" s="228"/>
      <c r="DW155" s="228"/>
      <c r="DX155" s="228"/>
      <c r="DY155" s="228"/>
      <c r="DZ155" s="228"/>
      <c r="EA155" s="228"/>
      <c r="EB155" s="228"/>
      <c r="EC155" s="228"/>
      <c r="ED155" s="228"/>
      <c r="EE155" s="228"/>
      <c r="EF155" s="228"/>
      <c r="EG155" s="228"/>
      <c r="EH155" s="228"/>
      <c r="EI155" s="228"/>
      <c r="EJ155" s="228"/>
      <c r="EK155" s="228"/>
      <c r="EL155" s="228"/>
      <c r="EM155" s="228"/>
      <c r="EN155" s="228"/>
      <c r="EO155" s="228"/>
      <c r="EP155" s="228"/>
      <c r="EQ155" s="228"/>
      <c r="ER155" s="228"/>
      <c r="ES155" s="228"/>
      <c r="ET155" s="228"/>
      <c r="EU155" s="228"/>
      <c r="EV155" s="228"/>
      <c r="EW155" s="228"/>
      <c r="EX155" s="228"/>
      <c r="EY155" s="228"/>
      <c r="EZ155" s="228"/>
      <c r="FA155" s="228"/>
      <c r="FB155" s="228"/>
      <c r="FC155" s="228"/>
      <c r="FD155" s="228"/>
      <c r="FE155" s="228"/>
      <c r="FF155" s="228"/>
      <c r="FG155" s="228"/>
      <c r="FH155" s="228"/>
      <c r="FI155" s="228"/>
      <c r="FJ155" s="228"/>
      <c r="FK155" s="228"/>
      <c r="FL155" s="228"/>
      <c r="FM155" s="228"/>
      <c r="FN155" s="228"/>
      <c r="FO155" s="228"/>
      <c r="FP155" s="228"/>
      <c r="FQ155" s="228"/>
      <c r="FR155" s="228"/>
      <c r="FS155" s="228"/>
      <c r="FT155" s="228"/>
      <c r="FU155" s="228"/>
      <c r="FV155" s="228"/>
      <c r="FW155" s="228"/>
      <c r="FX155" s="228"/>
      <c r="FY155" s="228"/>
      <c r="FZ155" s="228"/>
      <c r="GA155" s="228"/>
      <c r="GB155" s="228"/>
      <c r="GC155" s="228"/>
      <c r="GD155" s="228"/>
      <c r="GE155" s="228"/>
      <c r="GF155" s="228"/>
      <c r="GG155" s="228"/>
      <c r="GH155" s="228"/>
      <c r="GI155" s="228"/>
      <c r="GJ155" s="228"/>
      <c r="GK155" s="228"/>
      <c r="GL155" s="228"/>
      <c r="GM155" s="228"/>
      <c r="GN155" s="228"/>
      <c r="GO155" s="228"/>
      <c r="GP155" s="228"/>
      <c r="GQ155" s="228"/>
      <c r="GR155" s="228"/>
      <c r="GS155" s="228"/>
      <c r="GT155" s="228"/>
      <c r="GU155" s="228"/>
      <c r="GV155" s="228"/>
      <c r="GW155" s="228"/>
      <c r="GX155" s="228"/>
      <c r="GY155" s="228"/>
      <c r="GZ155" s="228"/>
      <c r="HA155" s="228"/>
      <c r="HB155" s="228"/>
      <c r="HC155" s="228"/>
      <c r="HD155" s="228"/>
      <c r="HE155" s="228"/>
      <c r="HF155" s="228"/>
      <c r="HG155" s="228"/>
      <c r="HH155" s="228"/>
      <c r="HI155" s="228"/>
      <c r="HJ155" s="228"/>
      <c r="HK155" s="228"/>
      <c r="HL155" s="228"/>
      <c r="HM155" s="228"/>
      <c r="HN155" s="228"/>
      <c r="HO155" s="228"/>
      <c r="HP155" s="228"/>
      <c r="HQ155" s="228"/>
      <c r="HR155" s="228"/>
      <c r="HS155" s="228"/>
      <c r="HT155" s="228"/>
      <c r="HU155" s="228"/>
      <c r="HV155" s="228"/>
      <c r="HW155" s="228"/>
      <c r="HX155" s="228"/>
      <c r="HY155" s="228"/>
      <c r="HZ155" s="228"/>
      <c r="IA155" s="228"/>
      <c r="IB155" s="228"/>
      <c r="IC155" s="228"/>
      <c r="ID155" s="228"/>
      <c r="IE155" s="228"/>
      <c r="IF155" s="228"/>
      <c r="IG155" s="228"/>
      <c r="IH155" s="228"/>
      <c r="II155" s="228"/>
      <c r="IJ155" s="228"/>
      <c r="IK155" s="228"/>
      <c r="IL155" s="228"/>
      <c r="IM155" s="228"/>
      <c r="IN155" s="228"/>
      <c r="IO155" s="228"/>
      <c r="IP155" s="228"/>
      <c r="IQ155" s="228"/>
      <c r="IR155" s="228"/>
      <c r="IS155" s="228"/>
      <c r="IT155" s="228"/>
      <c r="IU155" s="228"/>
      <c r="IV155" s="228"/>
      <c r="IW155" s="228"/>
      <c r="IX155" s="228"/>
      <c r="IY155" s="228"/>
      <c r="IZ155" s="228"/>
      <c r="JA155" s="228"/>
      <c r="JB155" s="228"/>
      <c r="JC155" s="228"/>
      <c r="JD155" s="228"/>
      <c r="JE155" s="228"/>
      <c r="JF155" s="228"/>
      <c r="JG155" s="228"/>
      <c r="JH155" s="228"/>
      <c r="JI155" s="228"/>
      <c r="JJ155" s="228"/>
      <c r="JK155" s="228"/>
      <c r="JL155" s="228"/>
      <c r="JM155" s="228"/>
      <c r="JN155" s="228"/>
      <c r="JO155" s="228"/>
      <c r="JP155" s="228"/>
      <c r="JQ155" s="228"/>
      <c r="JR155" s="228"/>
      <c r="JS155" s="228"/>
      <c r="JT155" s="228"/>
      <c r="JU155" s="228"/>
      <c r="JV155" s="228"/>
      <c r="JW155" s="228"/>
      <c r="JX155" s="228"/>
      <c r="JY155" s="228"/>
      <c r="JZ155" s="228"/>
      <c r="KA155" s="228"/>
      <c r="KB155" s="228"/>
      <c r="KC155" s="228"/>
      <c r="KD155" s="228"/>
      <c r="KE155" s="228"/>
      <c r="KF155" s="228"/>
      <c r="KG155" s="228"/>
      <c r="KH155" s="228"/>
      <c r="KI155" s="228"/>
      <c r="KJ155" s="228"/>
      <c r="KK155" s="228"/>
      <c r="KL155" s="228"/>
      <c r="KM155" s="228"/>
      <c r="KN155" s="228"/>
      <c r="KO155" s="228"/>
      <c r="KP155" s="228"/>
      <c r="KQ155" s="228"/>
      <c r="KR155" s="228"/>
      <c r="KS155" s="228"/>
      <c r="KT155" s="228"/>
      <c r="KU155" s="228"/>
      <c r="KV155" s="228"/>
      <c r="KW155" s="228"/>
      <c r="KX155" s="228"/>
      <c r="KY155" s="228"/>
      <c r="KZ155" s="228"/>
      <c r="LA155" s="228"/>
      <c r="LB155" s="228"/>
      <c r="LC155" s="228"/>
      <c r="LD155" s="228"/>
      <c r="LE155" s="228"/>
      <c r="LF155" s="228"/>
      <c r="LG155" s="228"/>
      <c r="LH155" s="228"/>
      <c r="LI155" s="228"/>
      <c r="LJ155" s="228"/>
      <c r="LK155" s="228"/>
      <c r="LL155" s="228"/>
      <c r="LM155" s="228"/>
      <c r="LN155" s="228"/>
      <c r="LO155" s="228"/>
      <c r="LP155" s="228"/>
      <c r="LQ155" s="228"/>
      <c r="LR155" s="228"/>
      <c r="LS155" s="228"/>
      <c r="LT155" s="228"/>
      <c r="LU155" s="228"/>
      <c r="LV155" s="228"/>
      <c r="LW155" s="228"/>
      <c r="LX155" s="228"/>
      <c r="LY155" s="228"/>
      <c r="LZ155" s="228"/>
      <c r="MA155" s="228"/>
      <c r="MB155" s="228"/>
      <c r="MC155" s="228"/>
      <c r="MD155" s="228"/>
      <c r="ME155" s="228"/>
      <c r="MF155" s="228"/>
      <c r="MG155" s="228"/>
      <c r="MH155" s="228"/>
      <c r="MI155" s="228"/>
      <c r="MJ155" s="228"/>
      <c r="MK155" s="228"/>
      <c r="ML155" s="228"/>
      <c r="MM155" s="228"/>
      <c r="MN155" s="228"/>
      <c r="MO155" s="228"/>
      <c r="MP155" s="228"/>
      <c r="MQ155" s="228"/>
      <c r="MR155" s="228"/>
      <c r="MS155" s="228"/>
      <c r="MT155" s="228"/>
      <c r="MU155" s="228"/>
      <c r="MV155" s="228"/>
      <c r="MW155" s="228"/>
      <c r="MX155" s="228"/>
      <c r="MY155" s="228"/>
      <c r="MZ155" s="228"/>
      <c r="NA155" s="228"/>
      <c r="NB155" s="228"/>
      <c r="NC155" s="228"/>
      <c r="ND155" s="228"/>
      <c r="NE155" s="228"/>
      <c r="NF155" s="228"/>
      <c r="NG155" s="228"/>
      <c r="NH155" s="228"/>
      <c r="NI155" s="228"/>
      <c r="NJ155" s="228"/>
      <c r="NK155" s="228"/>
      <c r="NL155" s="228"/>
      <c r="NM155" s="228"/>
      <c r="NN155" s="228"/>
      <c r="NO155" s="228"/>
      <c r="NP155" s="228"/>
      <c r="NQ155" s="228"/>
      <c r="NR155" s="228"/>
      <c r="NS155" s="228"/>
      <c r="NT155" s="228"/>
      <c r="NU155" s="228"/>
      <c r="NV155" s="228"/>
      <c r="NW155" s="228"/>
      <c r="NX155" s="228"/>
      <c r="NY155" s="228"/>
      <c r="NZ155" s="228"/>
      <c r="OA155" s="228"/>
      <c r="OB155" s="228"/>
      <c r="OC155" s="228"/>
      <c r="OD155" s="228"/>
      <c r="OE155" s="228"/>
      <c r="OF155" s="228"/>
      <c r="OG155" s="228"/>
      <c r="OH155" s="228"/>
      <c r="OI155" s="228"/>
      <c r="OJ155" s="228"/>
      <c r="OK155" s="228"/>
      <c r="OL155" s="228"/>
      <c r="OM155" s="228"/>
      <c r="ON155" s="228"/>
      <c r="OO155" s="228"/>
      <c r="OP155" s="228"/>
      <c r="OQ155" s="228"/>
      <c r="OR155" s="228"/>
      <c r="OS155" s="228"/>
      <c r="OT155" s="228"/>
      <c r="OU155" s="228"/>
      <c r="OV155" s="228"/>
      <c r="OW155" s="228"/>
      <c r="OX155" s="228"/>
      <c r="OY155" s="228"/>
      <c r="OZ155" s="228"/>
      <c r="PA155" s="228"/>
      <c r="PB155" s="228"/>
      <c r="PC155" s="228"/>
      <c r="PD155" s="228"/>
      <c r="PE155" s="228"/>
      <c r="PF155" s="228"/>
      <c r="PG155" s="228"/>
      <c r="PH155" s="228"/>
      <c r="PI155" s="228"/>
      <c r="PJ155" s="228"/>
      <c r="PK155" s="228"/>
      <c r="PL155" s="228"/>
      <c r="PM155" s="228"/>
      <c r="PN155" s="228"/>
      <c r="PO155" s="228"/>
      <c r="PP155" s="228"/>
      <c r="PQ155" s="228"/>
      <c r="PR155" s="228"/>
      <c r="PS155" s="228"/>
      <c r="PT155" s="228"/>
      <c r="PU155" s="228"/>
      <c r="PV155" s="228"/>
      <c r="PW155" s="228"/>
      <c r="PX155" s="228"/>
      <c r="PY155" s="228"/>
      <c r="PZ155" s="228"/>
      <c r="QA155" s="228"/>
      <c r="QB155" s="228"/>
      <c r="QC155" s="228"/>
      <c r="QD155" s="228"/>
      <c r="QE155" s="228"/>
      <c r="QF155" s="228"/>
      <c r="QG155" s="228"/>
      <c r="QH155" s="228"/>
      <c r="QI155" s="228"/>
      <c r="QJ155" s="228"/>
      <c r="QK155" s="228"/>
      <c r="QL155" s="228"/>
      <c r="QM155" s="228"/>
      <c r="QN155" s="228"/>
      <c r="QO155" s="228"/>
      <c r="QP155" s="228"/>
      <c r="QQ155" s="228"/>
      <c r="QR155" s="228"/>
      <c r="QS155" s="228"/>
      <c r="QT155" s="228"/>
      <c r="QU155" s="228"/>
      <c r="QV155" s="228"/>
      <c r="QW155" s="228"/>
      <c r="QX155" s="228"/>
      <c r="QY155" s="228"/>
      <c r="QZ155" s="228"/>
      <c r="RA155" s="228"/>
      <c r="RB155" s="228"/>
      <c r="RC155" s="228"/>
      <c r="RD155" s="228"/>
      <c r="RE155" s="228"/>
      <c r="RF155" s="228"/>
      <c r="RG155" s="228"/>
      <c r="RH155" s="228"/>
      <c r="RI155" s="228"/>
      <c r="RJ155" s="228"/>
      <c r="RK155" s="228"/>
      <c r="RL155" s="228"/>
      <c r="RM155" s="228"/>
      <c r="RN155" s="228"/>
      <c r="RO155" s="228"/>
      <c r="RP155" s="228"/>
      <c r="RQ155" s="228"/>
      <c r="RR155" s="228"/>
      <c r="RS155" s="228"/>
      <c r="RT155" s="228"/>
      <c r="RU155" s="228"/>
      <c r="RV155" s="228"/>
      <c r="RW155" s="228"/>
      <c r="RX155" s="228"/>
      <c r="RY155" s="228"/>
      <c r="RZ155" s="228"/>
      <c r="SA155" s="228"/>
      <c r="SB155" s="228"/>
      <c r="SC155" s="228"/>
      <c r="SD155" s="228"/>
      <c r="SE155" s="228"/>
      <c r="SF155" s="228"/>
      <c r="SG155" s="228"/>
      <c r="SH155" s="228"/>
      <c r="SI155" s="228"/>
      <c r="SJ155" s="228"/>
      <c r="SK155" s="228"/>
      <c r="SL155" s="228"/>
      <c r="SM155" s="228"/>
      <c r="SN155" s="228"/>
      <c r="SO155" s="228"/>
      <c r="SP155" s="228"/>
      <c r="SQ155" s="228"/>
      <c r="SR155" s="228"/>
      <c r="SS155" s="228"/>
      <c r="ST155" s="228"/>
      <c r="SU155" s="228"/>
      <c r="SV155" s="228"/>
      <c r="SW155" s="228"/>
      <c r="SX155" s="228"/>
      <c r="SY155" s="228"/>
      <c r="SZ155" s="228"/>
      <c r="TA155" s="228"/>
      <c r="TB155" s="228"/>
      <c r="TC155" s="228"/>
      <c r="TD155" s="228"/>
      <c r="TE155" s="228"/>
      <c r="TF155" s="228"/>
      <c r="TG155" s="228"/>
      <c r="TH155" s="228"/>
      <c r="TI155" s="228"/>
      <c r="TJ155" s="228"/>
      <c r="TK155" s="228"/>
      <c r="TL155" s="228"/>
      <c r="TM155" s="228"/>
      <c r="TN155" s="228"/>
      <c r="TO155" s="228"/>
      <c r="TP155" s="228"/>
      <c r="TQ155" s="228"/>
      <c r="TR155" s="228"/>
      <c r="TS155" s="228"/>
      <c r="TT155" s="228"/>
      <c r="TU155" s="228"/>
    </row>
    <row r="156" spans="1:541" s="268" customFormat="1" outlineLevel="1" x14ac:dyDescent="0.25">
      <c r="A156" s="232">
        <v>21</v>
      </c>
      <c r="B156" s="193" t="s">
        <v>1075</v>
      </c>
      <c r="C156" s="5" t="s">
        <v>1069</v>
      </c>
      <c r="D156" s="193" t="s">
        <v>845</v>
      </c>
      <c r="E156" s="5" t="s">
        <v>844</v>
      </c>
      <c r="F156" s="213" t="s">
        <v>0</v>
      </c>
      <c r="G156" s="213" t="s">
        <v>1067</v>
      </c>
      <c r="H156" s="213" t="s">
        <v>1167</v>
      </c>
      <c r="I156" s="5"/>
      <c r="J156" s="5" t="s">
        <v>0</v>
      </c>
      <c r="K156" s="5" t="s">
        <v>487</v>
      </c>
      <c r="L156" s="5" t="s">
        <v>487</v>
      </c>
      <c r="M156" s="213" t="s">
        <v>487</v>
      </c>
      <c r="N156" s="5" t="s">
        <v>1159</v>
      </c>
      <c r="O156" s="5" t="s">
        <v>1160</v>
      </c>
      <c r="P156" s="5" t="s">
        <v>1156</v>
      </c>
      <c r="Q156" s="234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 s="228"/>
      <c r="AX156" s="228"/>
      <c r="AY156" s="228"/>
      <c r="AZ156" s="228"/>
      <c r="BA156" s="228"/>
      <c r="BB156" s="228"/>
      <c r="BC156" s="228"/>
      <c r="BD156" s="228"/>
      <c r="BE156" s="228"/>
      <c r="BF156" s="228"/>
      <c r="BG156" s="228"/>
      <c r="BH156" s="228"/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8"/>
      <c r="BS156" s="228"/>
      <c r="BT156" s="228"/>
      <c r="BU156" s="228"/>
      <c r="BV156" s="228"/>
      <c r="BW156" s="228"/>
      <c r="BX156" s="228"/>
      <c r="BY156" s="228"/>
      <c r="BZ156" s="228"/>
      <c r="CA156" s="228"/>
      <c r="CB156" s="228"/>
      <c r="CC156" s="228"/>
      <c r="CD156" s="228"/>
      <c r="CE156" s="228"/>
      <c r="CF156" s="228"/>
      <c r="CG156" s="228"/>
      <c r="CH156" s="228"/>
      <c r="CI156" s="228"/>
      <c r="CJ156" s="228"/>
      <c r="CK156" s="228"/>
      <c r="CL156" s="228"/>
      <c r="CM156" s="228"/>
      <c r="CN156" s="228"/>
      <c r="CO156" s="228"/>
      <c r="CP156" s="228"/>
      <c r="CQ156" s="228"/>
      <c r="CR156" s="228"/>
      <c r="CS156" s="228"/>
      <c r="CT156" s="228"/>
      <c r="CU156" s="228"/>
      <c r="CV156" s="228"/>
      <c r="CW156" s="228"/>
      <c r="CX156" s="228"/>
      <c r="CY156" s="228"/>
      <c r="CZ156" s="228"/>
      <c r="DA156" s="228"/>
      <c r="DB156" s="228"/>
      <c r="DC156" s="228"/>
      <c r="DD156" s="228"/>
      <c r="DE156" s="228"/>
      <c r="DF156" s="228"/>
      <c r="DG156" s="228"/>
      <c r="DH156" s="228"/>
      <c r="DI156" s="228"/>
      <c r="DJ156" s="228"/>
      <c r="DK156" s="228"/>
      <c r="DL156" s="228"/>
      <c r="DM156" s="228"/>
      <c r="DN156" s="228"/>
      <c r="DO156" s="228"/>
      <c r="DP156" s="228"/>
      <c r="DQ156" s="228"/>
      <c r="DR156" s="228"/>
      <c r="DS156" s="228"/>
      <c r="DT156" s="228"/>
      <c r="DU156" s="228"/>
      <c r="DV156" s="228"/>
      <c r="DW156" s="228"/>
      <c r="DX156" s="228"/>
      <c r="DY156" s="228"/>
      <c r="DZ156" s="228"/>
      <c r="EA156" s="228"/>
      <c r="EB156" s="228"/>
      <c r="EC156" s="228"/>
      <c r="ED156" s="228"/>
      <c r="EE156" s="228"/>
      <c r="EF156" s="228"/>
      <c r="EG156" s="228"/>
      <c r="EH156" s="228"/>
      <c r="EI156" s="228"/>
      <c r="EJ156" s="228"/>
      <c r="EK156" s="228"/>
      <c r="EL156" s="228"/>
      <c r="EM156" s="228"/>
      <c r="EN156" s="228"/>
      <c r="EO156" s="228"/>
      <c r="EP156" s="228"/>
      <c r="EQ156" s="228"/>
      <c r="ER156" s="228"/>
      <c r="ES156" s="228"/>
      <c r="ET156" s="228"/>
      <c r="EU156" s="228"/>
      <c r="EV156" s="228"/>
      <c r="EW156" s="228"/>
      <c r="EX156" s="228"/>
      <c r="EY156" s="228"/>
      <c r="EZ156" s="228"/>
      <c r="FA156" s="228"/>
      <c r="FB156" s="228"/>
      <c r="FC156" s="228"/>
      <c r="FD156" s="228"/>
      <c r="FE156" s="228"/>
      <c r="FF156" s="228"/>
      <c r="FG156" s="228"/>
      <c r="FH156" s="228"/>
      <c r="FI156" s="228"/>
      <c r="FJ156" s="228"/>
      <c r="FK156" s="228"/>
      <c r="FL156" s="228"/>
      <c r="FM156" s="228"/>
      <c r="FN156" s="228"/>
      <c r="FO156" s="228"/>
      <c r="FP156" s="228"/>
      <c r="FQ156" s="228"/>
      <c r="FR156" s="228"/>
      <c r="FS156" s="228"/>
      <c r="FT156" s="228"/>
      <c r="FU156" s="228"/>
      <c r="FV156" s="228"/>
      <c r="FW156" s="228"/>
      <c r="FX156" s="228"/>
      <c r="FY156" s="228"/>
      <c r="FZ156" s="228"/>
      <c r="GA156" s="228"/>
      <c r="GB156" s="228"/>
      <c r="GC156" s="228"/>
      <c r="GD156" s="228"/>
      <c r="GE156" s="228"/>
      <c r="GF156" s="228"/>
      <c r="GG156" s="228"/>
      <c r="GH156" s="228"/>
      <c r="GI156" s="228"/>
      <c r="GJ156" s="228"/>
      <c r="GK156" s="228"/>
      <c r="GL156" s="228"/>
      <c r="GM156" s="228"/>
      <c r="GN156" s="228"/>
      <c r="GO156" s="228"/>
      <c r="GP156" s="228"/>
      <c r="GQ156" s="228"/>
      <c r="GR156" s="228"/>
      <c r="GS156" s="228"/>
      <c r="GT156" s="228"/>
      <c r="GU156" s="228"/>
      <c r="GV156" s="228"/>
      <c r="GW156" s="228"/>
      <c r="GX156" s="228"/>
      <c r="GY156" s="228"/>
      <c r="GZ156" s="228"/>
      <c r="HA156" s="228"/>
      <c r="HB156" s="228"/>
      <c r="HC156" s="228"/>
      <c r="HD156" s="228"/>
      <c r="HE156" s="228"/>
      <c r="HF156" s="228"/>
      <c r="HG156" s="228"/>
      <c r="HH156" s="228"/>
      <c r="HI156" s="228"/>
      <c r="HJ156" s="228"/>
      <c r="HK156" s="228"/>
      <c r="HL156" s="228"/>
      <c r="HM156" s="228"/>
      <c r="HN156" s="228"/>
      <c r="HO156" s="228"/>
      <c r="HP156" s="228"/>
      <c r="HQ156" s="228"/>
      <c r="HR156" s="228"/>
      <c r="HS156" s="228"/>
      <c r="HT156" s="228"/>
      <c r="HU156" s="228"/>
      <c r="HV156" s="228"/>
      <c r="HW156" s="228"/>
      <c r="HX156" s="228"/>
      <c r="HY156" s="228"/>
      <c r="HZ156" s="228"/>
      <c r="IA156" s="228"/>
      <c r="IB156" s="228"/>
      <c r="IC156" s="228"/>
      <c r="ID156" s="228"/>
      <c r="IE156" s="228"/>
      <c r="IF156" s="228"/>
      <c r="IG156" s="228"/>
      <c r="IH156" s="228"/>
      <c r="II156" s="228"/>
      <c r="IJ156" s="228"/>
      <c r="IK156" s="228"/>
      <c r="IL156" s="228"/>
      <c r="IM156" s="228"/>
      <c r="IN156" s="228"/>
      <c r="IO156" s="228"/>
      <c r="IP156" s="228"/>
      <c r="IQ156" s="228"/>
      <c r="IR156" s="228"/>
      <c r="IS156" s="228"/>
      <c r="IT156" s="228"/>
      <c r="IU156" s="228"/>
      <c r="IV156" s="228"/>
      <c r="IW156" s="228"/>
      <c r="IX156" s="228"/>
      <c r="IY156" s="228"/>
      <c r="IZ156" s="228"/>
      <c r="JA156" s="228"/>
      <c r="JB156" s="228"/>
      <c r="JC156" s="228"/>
      <c r="JD156" s="228"/>
      <c r="JE156" s="228"/>
      <c r="JF156" s="228"/>
      <c r="JG156" s="228"/>
      <c r="JH156" s="228"/>
      <c r="JI156" s="228"/>
      <c r="JJ156" s="228"/>
      <c r="JK156" s="228"/>
      <c r="JL156" s="228"/>
      <c r="JM156" s="228"/>
      <c r="JN156" s="228"/>
      <c r="JO156" s="228"/>
      <c r="JP156" s="228"/>
      <c r="JQ156" s="228"/>
      <c r="JR156" s="228"/>
      <c r="JS156" s="228"/>
      <c r="JT156" s="228"/>
      <c r="JU156" s="228"/>
      <c r="JV156" s="228"/>
      <c r="JW156" s="228"/>
      <c r="JX156" s="228"/>
      <c r="JY156" s="228"/>
      <c r="JZ156" s="228"/>
      <c r="KA156" s="228"/>
      <c r="KB156" s="228"/>
      <c r="KC156" s="228"/>
      <c r="KD156" s="228"/>
      <c r="KE156" s="228"/>
      <c r="KF156" s="228"/>
      <c r="KG156" s="228"/>
      <c r="KH156" s="228"/>
      <c r="KI156" s="228"/>
      <c r="KJ156" s="228"/>
      <c r="KK156" s="228"/>
      <c r="KL156" s="228"/>
      <c r="KM156" s="228"/>
      <c r="KN156" s="228"/>
      <c r="KO156" s="228"/>
      <c r="KP156" s="228"/>
      <c r="KQ156" s="228"/>
      <c r="KR156" s="228"/>
      <c r="KS156" s="228"/>
      <c r="KT156" s="228"/>
      <c r="KU156" s="228"/>
      <c r="KV156" s="228"/>
      <c r="KW156" s="228"/>
      <c r="KX156" s="228"/>
      <c r="KY156" s="228"/>
      <c r="KZ156" s="228"/>
      <c r="LA156" s="228"/>
      <c r="LB156" s="228"/>
      <c r="LC156" s="228"/>
      <c r="LD156" s="228"/>
      <c r="LE156" s="228"/>
      <c r="LF156" s="228"/>
      <c r="LG156" s="228"/>
      <c r="LH156" s="228"/>
      <c r="LI156" s="228"/>
      <c r="LJ156" s="228"/>
      <c r="LK156" s="228"/>
      <c r="LL156" s="228"/>
      <c r="LM156" s="228"/>
      <c r="LN156" s="228"/>
      <c r="LO156" s="228"/>
      <c r="LP156" s="228"/>
      <c r="LQ156" s="228"/>
      <c r="LR156" s="228"/>
      <c r="LS156" s="228"/>
      <c r="LT156" s="228"/>
      <c r="LU156" s="228"/>
      <c r="LV156" s="228"/>
      <c r="LW156" s="228"/>
      <c r="LX156" s="228"/>
      <c r="LY156" s="228"/>
      <c r="LZ156" s="228"/>
      <c r="MA156" s="228"/>
      <c r="MB156" s="228"/>
      <c r="MC156" s="228"/>
      <c r="MD156" s="228"/>
      <c r="ME156" s="228"/>
      <c r="MF156" s="228"/>
      <c r="MG156" s="228"/>
      <c r="MH156" s="228"/>
      <c r="MI156" s="228"/>
      <c r="MJ156" s="228"/>
      <c r="MK156" s="228"/>
      <c r="ML156" s="228"/>
      <c r="MM156" s="228"/>
      <c r="MN156" s="228"/>
      <c r="MO156" s="228"/>
      <c r="MP156" s="228"/>
      <c r="MQ156" s="228"/>
      <c r="MR156" s="228"/>
      <c r="MS156" s="228"/>
      <c r="MT156" s="228"/>
      <c r="MU156" s="228"/>
      <c r="MV156" s="228"/>
      <c r="MW156" s="228"/>
      <c r="MX156" s="228"/>
      <c r="MY156" s="228"/>
      <c r="MZ156" s="228"/>
      <c r="NA156" s="228"/>
      <c r="NB156" s="228"/>
      <c r="NC156" s="228"/>
      <c r="ND156" s="228"/>
      <c r="NE156" s="228"/>
      <c r="NF156" s="228"/>
      <c r="NG156" s="228"/>
      <c r="NH156" s="228"/>
      <c r="NI156" s="228"/>
      <c r="NJ156" s="228"/>
      <c r="NK156" s="228"/>
      <c r="NL156" s="228"/>
      <c r="NM156" s="228"/>
      <c r="NN156" s="228"/>
      <c r="NO156" s="228"/>
      <c r="NP156" s="228"/>
      <c r="NQ156" s="228"/>
      <c r="NR156" s="228"/>
      <c r="NS156" s="228"/>
      <c r="NT156" s="228"/>
      <c r="NU156" s="228"/>
      <c r="NV156" s="228"/>
      <c r="NW156" s="228"/>
      <c r="NX156" s="228"/>
      <c r="NY156" s="228"/>
      <c r="NZ156" s="228"/>
      <c r="OA156" s="228"/>
      <c r="OB156" s="228"/>
      <c r="OC156" s="228"/>
      <c r="OD156" s="228"/>
      <c r="OE156" s="228"/>
      <c r="OF156" s="228"/>
      <c r="OG156" s="228"/>
      <c r="OH156" s="228"/>
      <c r="OI156" s="228"/>
      <c r="OJ156" s="228"/>
      <c r="OK156" s="228"/>
      <c r="OL156" s="228"/>
      <c r="OM156" s="228"/>
      <c r="ON156" s="228"/>
      <c r="OO156" s="228"/>
      <c r="OP156" s="228"/>
      <c r="OQ156" s="228"/>
      <c r="OR156" s="228"/>
      <c r="OS156" s="228"/>
      <c r="OT156" s="228"/>
      <c r="OU156" s="228"/>
      <c r="OV156" s="228"/>
      <c r="OW156" s="228"/>
      <c r="OX156" s="228"/>
      <c r="OY156" s="228"/>
      <c r="OZ156" s="228"/>
      <c r="PA156" s="228"/>
      <c r="PB156" s="228"/>
      <c r="PC156" s="228"/>
      <c r="PD156" s="228"/>
      <c r="PE156" s="228"/>
      <c r="PF156" s="228"/>
      <c r="PG156" s="228"/>
      <c r="PH156" s="228"/>
      <c r="PI156" s="228"/>
      <c r="PJ156" s="228"/>
      <c r="PK156" s="228"/>
      <c r="PL156" s="228"/>
      <c r="PM156" s="228"/>
      <c r="PN156" s="228"/>
      <c r="PO156" s="228"/>
      <c r="PP156" s="228"/>
      <c r="PQ156" s="228"/>
      <c r="PR156" s="228"/>
      <c r="PS156" s="228"/>
      <c r="PT156" s="228"/>
      <c r="PU156" s="228"/>
      <c r="PV156" s="228"/>
      <c r="PW156" s="228"/>
      <c r="PX156" s="228"/>
      <c r="PY156" s="228"/>
      <c r="PZ156" s="228"/>
      <c r="QA156" s="228"/>
      <c r="QB156" s="228"/>
      <c r="QC156" s="228"/>
      <c r="QD156" s="228"/>
      <c r="QE156" s="228"/>
      <c r="QF156" s="228"/>
      <c r="QG156" s="228"/>
      <c r="QH156" s="228"/>
      <c r="QI156" s="228"/>
      <c r="QJ156" s="228"/>
      <c r="QK156" s="228"/>
      <c r="QL156" s="228"/>
      <c r="QM156" s="228"/>
      <c r="QN156" s="228"/>
      <c r="QO156" s="228"/>
      <c r="QP156" s="228"/>
      <c r="QQ156" s="228"/>
      <c r="QR156" s="228"/>
      <c r="QS156" s="228"/>
      <c r="QT156" s="228"/>
      <c r="QU156" s="228"/>
      <c r="QV156" s="228"/>
      <c r="QW156" s="228"/>
      <c r="QX156" s="228"/>
      <c r="QY156" s="228"/>
      <c r="QZ156" s="228"/>
      <c r="RA156" s="228"/>
      <c r="RB156" s="228"/>
      <c r="RC156" s="228"/>
      <c r="RD156" s="228"/>
      <c r="RE156" s="228"/>
      <c r="RF156" s="228"/>
      <c r="RG156" s="228"/>
      <c r="RH156" s="228"/>
      <c r="RI156" s="228"/>
      <c r="RJ156" s="228"/>
      <c r="RK156" s="228"/>
      <c r="RL156" s="228"/>
      <c r="RM156" s="228"/>
      <c r="RN156" s="228"/>
      <c r="RO156" s="228"/>
      <c r="RP156" s="228"/>
      <c r="RQ156" s="228"/>
      <c r="RR156" s="228"/>
      <c r="RS156" s="228"/>
      <c r="RT156" s="228"/>
      <c r="RU156" s="228"/>
      <c r="RV156" s="228"/>
      <c r="RW156" s="228"/>
      <c r="RX156" s="228"/>
      <c r="RY156" s="228"/>
      <c r="RZ156" s="228"/>
      <c r="SA156" s="228"/>
      <c r="SB156" s="228"/>
      <c r="SC156" s="228"/>
      <c r="SD156" s="228"/>
      <c r="SE156" s="228"/>
      <c r="SF156" s="228"/>
      <c r="SG156" s="228"/>
      <c r="SH156" s="228"/>
      <c r="SI156" s="228"/>
      <c r="SJ156" s="228"/>
      <c r="SK156" s="228"/>
      <c r="SL156" s="228"/>
      <c r="SM156" s="228"/>
      <c r="SN156" s="228"/>
      <c r="SO156" s="228"/>
      <c r="SP156" s="228"/>
      <c r="SQ156" s="228"/>
      <c r="SR156" s="228"/>
      <c r="SS156" s="228"/>
      <c r="ST156" s="228"/>
      <c r="SU156" s="228"/>
      <c r="SV156" s="228"/>
      <c r="SW156" s="228"/>
      <c r="SX156" s="228"/>
      <c r="SY156" s="228"/>
      <c r="SZ156" s="228"/>
      <c r="TA156" s="228"/>
      <c r="TB156" s="228"/>
      <c r="TC156" s="228"/>
      <c r="TD156" s="228"/>
      <c r="TE156" s="228"/>
      <c r="TF156" s="228"/>
      <c r="TG156" s="228"/>
      <c r="TH156" s="228"/>
      <c r="TI156" s="228"/>
      <c r="TJ156" s="228"/>
      <c r="TK156" s="228"/>
      <c r="TL156" s="228"/>
      <c r="TM156" s="228"/>
      <c r="TN156" s="228"/>
      <c r="TO156" s="228"/>
      <c r="TP156" s="228"/>
      <c r="TQ156" s="228"/>
      <c r="TR156" s="228"/>
      <c r="TS156" s="228"/>
      <c r="TT156" s="228"/>
      <c r="TU156" s="228"/>
    </row>
    <row r="157" spans="1:541" s="268" customFormat="1" outlineLevel="1" x14ac:dyDescent="0.25">
      <c r="A157" s="232">
        <v>22</v>
      </c>
      <c r="B157" s="193" t="s">
        <v>1075</v>
      </c>
      <c r="C157" s="5" t="s">
        <v>1071</v>
      </c>
      <c r="D157" s="5" t="s">
        <v>1011</v>
      </c>
      <c r="E157" s="5" t="s">
        <v>100</v>
      </c>
      <c r="F157" s="213" t="s">
        <v>0</v>
      </c>
      <c r="G157" s="322" t="s">
        <v>792</v>
      </c>
      <c r="H157" s="213" t="s">
        <v>1167</v>
      </c>
      <c r="I157" s="5"/>
      <c r="J157" s="5" t="s">
        <v>0</v>
      </c>
      <c r="K157" s="5"/>
      <c r="L157" s="5"/>
      <c r="M157" s="213"/>
      <c r="N157" s="5" t="s">
        <v>1159</v>
      </c>
      <c r="O157" s="5" t="s">
        <v>1160</v>
      </c>
      <c r="P157" s="5" t="s">
        <v>1156</v>
      </c>
      <c r="Q157" s="234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 s="228"/>
      <c r="AX157" s="228"/>
      <c r="AY157" s="228"/>
      <c r="AZ157" s="228"/>
      <c r="BA157" s="228"/>
      <c r="BB157" s="228"/>
      <c r="BC157" s="228"/>
      <c r="BD157" s="228"/>
      <c r="BE157" s="228"/>
      <c r="BF157" s="228"/>
      <c r="BG157" s="228"/>
      <c r="BH157" s="228"/>
      <c r="BI157" s="228"/>
      <c r="BJ157" s="228"/>
      <c r="BK157" s="228"/>
      <c r="BL157" s="228"/>
      <c r="BM157" s="228"/>
      <c r="BN157" s="228"/>
      <c r="BO157" s="228"/>
      <c r="BP157" s="228"/>
      <c r="BQ157" s="228"/>
      <c r="BR157" s="228"/>
      <c r="BS157" s="228"/>
      <c r="BT157" s="228"/>
      <c r="BU157" s="228"/>
      <c r="BV157" s="228"/>
      <c r="BW157" s="228"/>
      <c r="BX157" s="228"/>
      <c r="BY157" s="228"/>
      <c r="BZ157" s="228"/>
      <c r="CA157" s="228"/>
      <c r="CB157" s="228"/>
      <c r="CC157" s="228"/>
      <c r="CD157" s="228"/>
      <c r="CE157" s="228"/>
      <c r="CF157" s="228"/>
      <c r="CG157" s="228"/>
      <c r="CH157" s="228"/>
      <c r="CI157" s="228"/>
      <c r="CJ157" s="228"/>
      <c r="CK157" s="228"/>
      <c r="CL157" s="228"/>
      <c r="CM157" s="228"/>
      <c r="CN157" s="228"/>
      <c r="CO157" s="228"/>
      <c r="CP157" s="228"/>
      <c r="CQ157" s="228"/>
      <c r="CR157" s="228"/>
      <c r="CS157" s="228"/>
      <c r="CT157" s="228"/>
      <c r="CU157" s="228"/>
      <c r="CV157" s="228"/>
      <c r="CW157" s="228"/>
      <c r="CX157" s="228"/>
      <c r="CY157" s="228"/>
      <c r="CZ157" s="228"/>
      <c r="DA157" s="228"/>
      <c r="DB157" s="228"/>
      <c r="DC157" s="228"/>
      <c r="DD157" s="228"/>
      <c r="DE157" s="228"/>
      <c r="DF157" s="228"/>
      <c r="DG157" s="228"/>
      <c r="DH157" s="228"/>
      <c r="DI157" s="228"/>
      <c r="DJ157" s="228"/>
      <c r="DK157" s="228"/>
      <c r="DL157" s="228"/>
      <c r="DM157" s="228"/>
      <c r="DN157" s="228"/>
      <c r="DO157" s="228"/>
      <c r="DP157" s="228"/>
      <c r="DQ157" s="228"/>
      <c r="DR157" s="228"/>
      <c r="DS157" s="228"/>
      <c r="DT157" s="228"/>
      <c r="DU157" s="228"/>
      <c r="DV157" s="228"/>
      <c r="DW157" s="228"/>
      <c r="DX157" s="228"/>
      <c r="DY157" s="228"/>
      <c r="DZ157" s="228"/>
      <c r="EA157" s="228"/>
      <c r="EB157" s="228"/>
      <c r="EC157" s="228"/>
      <c r="ED157" s="228"/>
      <c r="EE157" s="228"/>
      <c r="EF157" s="228"/>
      <c r="EG157" s="228"/>
      <c r="EH157" s="228"/>
      <c r="EI157" s="228"/>
      <c r="EJ157" s="228"/>
      <c r="EK157" s="228"/>
      <c r="EL157" s="228"/>
      <c r="EM157" s="228"/>
      <c r="EN157" s="228"/>
      <c r="EO157" s="228"/>
      <c r="EP157" s="228"/>
      <c r="EQ157" s="228"/>
      <c r="ER157" s="228"/>
      <c r="ES157" s="228"/>
      <c r="ET157" s="228"/>
      <c r="EU157" s="228"/>
      <c r="EV157" s="228"/>
      <c r="EW157" s="228"/>
      <c r="EX157" s="228"/>
      <c r="EY157" s="228"/>
      <c r="EZ157" s="228"/>
      <c r="FA157" s="228"/>
      <c r="FB157" s="228"/>
      <c r="FC157" s="228"/>
      <c r="FD157" s="228"/>
      <c r="FE157" s="228"/>
      <c r="FF157" s="228"/>
      <c r="FG157" s="228"/>
      <c r="FH157" s="228"/>
      <c r="FI157" s="228"/>
      <c r="FJ157" s="228"/>
      <c r="FK157" s="228"/>
      <c r="FL157" s="228"/>
      <c r="FM157" s="228"/>
      <c r="FN157" s="228"/>
      <c r="FO157" s="228"/>
      <c r="FP157" s="228"/>
      <c r="FQ157" s="228"/>
      <c r="FR157" s="228"/>
      <c r="FS157" s="228"/>
      <c r="FT157" s="228"/>
      <c r="FU157" s="228"/>
      <c r="FV157" s="228"/>
      <c r="FW157" s="228"/>
      <c r="FX157" s="228"/>
      <c r="FY157" s="228"/>
      <c r="FZ157" s="228"/>
      <c r="GA157" s="228"/>
      <c r="GB157" s="228"/>
      <c r="GC157" s="228"/>
      <c r="GD157" s="228"/>
      <c r="GE157" s="228"/>
      <c r="GF157" s="228"/>
      <c r="GG157" s="228"/>
      <c r="GH157" s="228"/>
      <c r="GI157" s="228"/>
      <c r="GJ157" s="228"/>
      <c r="GK157" s="228"/>
      <c r="GL157" s="228"/>
      <c r="GM157" s="228"/>
      <c r="GN157" s="228"/>
      <c r="GO157" s="228"/>
      <c r="GP157" s="228"/>
      <c r="GQ157" s="228"/>
      <c r="GR157" s="228"/>
      <c r="GS157" s="228"/>
      <c r="GT157" s="228"/>
      <c r="GU157" s="228"/>
      <c r="GV157" s="228"/>
      <c r="GW157" s="228"/>
      <c r="GX157" s="228"/>
      <c r="GY157" s="228"/>
      <c r="GZ157" s="228"/>
      <c r="HA157" s="228"/>
      <c r="HB157" s="228"/>
      <c r="HC157" s="228"/>
      <c r="HD157" s="228"/>
      <c r="HE157" s="228"/>
      <c r="HF157" s="228"/>
      <c r="HG157" s="228"/>
      <c r="HH157" s="228"/>
      <c r="HI157" s="228"/>
      <c r="HJ157" s="228"/>
      <c r="HK157" s="228"/>
      <c r="HL157" s="228"/>
      <c r="HM157" s="228"/>
      <c r="HN157" s="228"/>
      <c r="HO157" s="228"/>
      <c r="HP157" s="228"/>
      <c r="HQ157" s="228"/>
      <c r="HR157" s="228"/>
      <c r="HS157" s="228"/>
      <c r="HT157" s="228"/>
      <c r="HU157" s="228"/>
      <c r="HV157" s="228"/>
      <c r="HW157" s="228"/>
      <c r="HX157" s="228"/>
      <c r="HY157" s="228"/>
      <c r="HZ157" s="228"/>
      <c r="IA157" s="228"/>
      <c r="IB157" s="228"/>
      <c r="IC157" s="228"/>
      <c r="ID157" s="228"/>
      <c r="IE157" s="228"/>
      <c r="IF157" s="228"/>
      <c r="IG157" s="228"/>
      <c r="IH157" s="228"/>
      <c r="II157" s="228"/>
      <c r="IJ157" s="228"/>
      <c r="IK157" s="228"/>
      <c r="IL157" s="228"/>
      <c r="IM157" s="228"/>
      <c r="IN157" s="228"/>
      <c r="IO157" s="228"/>
      <c r="IP157" s="228"/>
      <c r="IQ157" s="228"/>
      <c r="IR157" s="228"/>
      <c r="IS157" s="228"/>
      <c r="IT157" s="228"/>
      <c r="IU157" s="228"/>
      <c r="IV157" s="228"/>
      <c r="IW157" s="228"/>
      <c r="IX157" s="228"/>
      <c r="IY157" s="228"/>
      <c r="IZ157" s="228"/>
      <c r="JA157" s="228"/>
      <c r="JB157" s="228"/>
      <c r="JC157" s="228"/>
      <c r="JD157" s="228"/>
      <c r="JE157" s="228"/>
      <c r="JF157" s="228"/>
      <c r="JG157" s="228"/>
      <c r="JH157" s="228"/>
      <c r="JI157" s="228"/>
      <c r="JJ157" s="228"/>
      <c r="JK157" s="228"/>
      <c r="JL157" s="228"/>
      <c r="JM157" s="228"/>
      <c r="JN157" s="228"/>
      <c r="JO157" s="228"/>
      <c r="JP157" s="228"/>
      <c r="JQ157" s="228"/>
      <c r="JR157" s="228"/>
      <c r="JS157" s="228"/>
      <c r="JT157" s="228"/>
      <c r="JU157" s="228"/>
      <c r="JV157" s="228"/>
      <c r="JW157" s="228"/>
      <c r="JX157" s="228"/>
      <c r="JY157" s="228"/>
      <c r="JZ157" s="228"/>
      <c r="KA157" s="228"/>
      <c r="KB157" s="228"/>
      <c r="KC157" s="228"/>
      <c r="KD157" s="228"/>
      <c r="KE157" s="228"/>
      <c r="KF157" s="228"/>
      <c r="KG157" s="228"/>
      <c r="KH157" s="228"/>
      <c r="KI157" s="228"/>
      <c r="KJ157" s="228"/>
      <c r="KK157" s="228"/>
      <c r="KL157" s="228"/>
      <c r="KM157" s="228"/>
      <c r="KN157" s="228"/>
      <c r="KO157" s="228"/>
      <c r="KP157" s="228"/>
      <c r="KQ157" s="228"/>
      <c r="KR157" s="228"/>
      <c r="KS157" s="228"/>
      <c r="KT157" s="228"/>
      <c r="KU157" s="228"/>
      <c r="KV157" s="228"/>
      <c r="KW157" s="228"/>
      <c r="KX157" s="228"/>
      <c r="KY157" s="228"/>
      <c r="KZ157" s="228"/>
      <c r="LA157" s="228"/>
      <c r="LB157" s="228"/>
      <c r="LC157" s="228"/>
      <c r="LD157" s="228"/>
      <c r="LE157" s="228"/>
      <c r="LF157" s="228"/>
      <c r="LG157" s="228"/>
      <c r="LH157" s="228"/>
      <c r="LI157" s="228"/>
      <c r="LJ157" s="228"/>
      <c r="LK157" s="228"/>
      <c r="LL157" s="228"/>
      <c r="LM157" s="228"/>
      <c r="LN157" s="228"/>
      <c r="LO157" s="228"/>
      <c r="LP157" s="228"/>
      <c r="LQ157" s="228"/>
      <c r="LR157" s="228"/>
      <c r="LS157" s="228"/>
      <c r="LT157" s="228"/>
      <c r="LU157" s="228"/>
      <c r="LV157" s="228"/>
      <c r="LW157" s="228"/>
      <c r="LX157" s="228"/>
      <c r="LY157" s="228"/>
      <c r="LZ157" s="228"/>
      <c r="MA157" s="228"/>
      <c r="MB157" s="228"/>
      <c r="MC157" s="228"/>
      <c r="MD157" s="228"/>
      <c r="ME157" s="228"/>
      <c r="MF157" s="228"/>
      <c r="MG157" s="228"/>
      <c r="MH157" s="228"/>
      <c r="MI157" s="228"/>
      <c r="MJ157" s="228"/>
      <c r="MK157" s="228"/>
      <c r="ML157" s="228"/>
      <c r="MM157" s="228"/>
      <c r="MN157" s="228"/>
      <c r="MO157" s="228"/>
      <c r="MP157" s="228"/>
      <c r="MQ157" s="228"/>
      <c r="MR157" s="228"/>
      <c r="MS157" s="228"/>
      <c r="MT157" s="228"/>
      <c r="MU157" s="228"/>
      <c r="MV157" s="228"/>
      <c r="MW157" s="228"/>
      <c r="MX157" s="228"/>
      <c r="MY157" s="228"/>
      <c r="MZ157" s="228"/>
      <c r="NA157" s="228"/>
      <c r="NB157" s="228"/>
      <c r="NC157" s="228"/>
      <c r="ND157" s="228"/>
      <c r="NE157" s="228"/>
      <c r="NF157" s="228"/>
      <c r="NG157" s="228"/>
      <c r="NH157" s="228"/>
      <c r="NI157" s="228"/>
      <c r="NJ157" s="228"/>
      <c r="NK157" s="228"/>
      <c r="NL157" s="228"/>
      <c r="NM157" s="228"/>
      <c r="NN157" s="228"/>
      <c r="NO157" s="228"/>
      <c r="NP157" s="228"/>
      <c r="NQ157" s="228"/>
      <c r="NR157" s="228"/>
      <c r="NS157" s="228"/>
      <c r="NT157" s="228"/>
      <c r="NU157" s="228"/>
      <c r="NV157" s="228"/>
      <c r="NW157" s="228"/>
      <c r="NX157" s="228"/>
      <c r="NY157" s="228"/>
      <c r="NZ157" s="228"/>
      <c r="OA157" s="228"/>
      <c r="OB157" s="228"/>
      <c r="OC157" s="228"/>
      <c r="OD157" s="228"/>
      <c r="OE157" s="228"/>
      <c r="OF157" s="228"/>
      <c r="OG157" s="228"/>
      <c r="OH157" s="228"/>
      <c r="OI157" s="228"/>
      <c r="OJ157" s="228"/>
      <c r="OK157" s="228"/>
      <c r="OL157" s="228"/>
      <c r="OM157" s="228"/>
      <c r="ON157" s="228"/>
      <c r="OO157" s="228"/>
      <c r="OP157" s="228"/>
      <c r="OQ157" s="228"/>
      <c r="OR157" s="228"/>
      <c r="OS157" s="228"/>
      <c r="OT157" s="228"/>
      <c r="OU157" s="228"/>
      <c r="OV157" s="228"/>
      <c r="OW157" s="228"/>
      <c r="OX157" s="228"/>
      <c r="OY157" s="228"/>
      <c r="OZ157" s="228"/>
      <c r="PA157" s="228"/>
      <c r="PB157" s="228"/>
      <c r="PC157" s="228"/>
      <c r="PD157" s="228"/>
      <c r="PE157" s="228"/>
      <c r="PF157" s="228"/>
      <c r="PG157" s="228"/>
      <c r="PH157" s="228"/>
      <c r="PI157" s="228"/>
      <c r="PJ157" s="228"/>
      <c r="PK157" s="228"/>
      <c r="PL157" s="228"/>
      <c r="PM157" s="228"/>
      <c r="PN157" s="228"/>
      <c r="PO157" s="228"/>
      <c r="PP157" s="228"/>
      <c r="PQ157" s="228"/>
      <c r="PR157" s="228"/>
      <c r="PS157" s="228"/>
      <c r="PT157" s="228"/>
      <c r="PU157" s="228"/>
      <c r="PV157" s="228"/>
      <c r="PW157" s="228"/>
      <c r="PX157" s="228"/>
      <c r="PY157" s="228"/>
      <c r="PZ157" s="228"/>
      <c r="QA157" s="228"/>
      <c r="QB157" s="228"/>
      <c r="QC157" s="228"/>
      <c r="QD157" s="228"/>
      <c r="QE157" s="228"/>
      <c r="QF157" s="228"/>
      <c r="QG157" s="228"/>
      <c r="QH157" s="228"/>
      <c r="QI157" s="228"/>
      <c r="QJ157" s="228"/>
      <c r="QK157" s="228"/>
      <c r="QL157" s="228"/>
      <c r="QM157" s="228"/>
      <c r="QN157" s="228"/>
      <c r="QO157" s="228"/>
      <c r="QP157" s="228"/>
      <c r="QQ157" s="228"/>
      <c r="QR157" s="228"/>
      <c r="QS157" s="228"/>
      <c r="QT157" s="228"/>
      <c r="QU157" s="228"/>
      <c r="QV157" s="228"/>
      <c r="QW157" s="228"/>
      <c r="QX157" s="228"/>
      <c r="QY157" s="228"/>
      <c r="QZ157" s="228"/>
      <c r="RA157" s="228"/>
      <c r="RB157" s="228"/>
      <c r="RC157" s="228"/>
      <c r="RD157" s="228"/>
      <c r="RE157" s="228"/>
      <c r="RF157" s="228"/>
      <c r="RG157" s="228"/>
      <c r="RH157" s="228"/>
      <c r="RI157" s="228"/>
      <c r="RJ157" s="228"/>
      <c r="RK157" s="228"/>
      <c r="RL157" s="228"/>
      <c r="RM157" s="228"/>
      <c r="RN157" s="228"/>
      <c r="RO157" s="228"/>
      <c r="RP157" s="228"/>
      <c r="RQ157" s="228"/>
      <c r="RR157" s="228"/>
      <c r="RS157" s="228"/>
      <c r="RT157" s="228"/>
      <c r="RU157" s="228"/>
      <c r="RV157" s="228"/>
      <c r="RW157" s="228"/>
      <c r="RX157" s="228"/>
      <c r="RY157" s="228"/>
      <c r="RZ157" s="228"/>
      <c r="SA157" s="228"/>
      <c r="SB157" s="228"/>
      <c r="SC157" s="228"/>
      <c r="SD157" s="228"/>
      <c r="SE157" s="228"/>
      <c r="SF157" s="228"/>
      <c r="SG157" s="228"/>
      <c r="SH157" s="228"/>
      <c r="SI157" s="228"/>
      <c r="SJ157" s="228"/>
      <c r="SK157" s="228"/>
      <c r="SL157" s="228"/>
      <c r="SM157" s="228"/>
      <c r="SN157" s="228"/>
      <c r="SO157" s="228"/>
      <c r="SP157" s="228"/>
      <c r="SQ157" s="228"/>
      <c r="SR157" s="228"/>
      <c r="SS157" s="228"/>
      <c r="ST157" s="228"/>
      <c r="SU157" s="228"/>
      <c r="SV157" s="228"/>
      <c r="SW157" s="228"/>
      <c r="SX157" s="228"/>
      <c r="SY157" s="228"/>
      <c r="SZ157" s="228"/>
      <c r="TA157" s="228"/>
      <c r="TB157" s="228"/>
      <c r="TC157" s="228"/>
      <c r="TD157" s="228"/>
      <c r="TE157" s="228"/>
      <c r="TF157" s="228"/>
      <c r="TG157" s="228"/>
      <c r="TH157" s="228"/>
      <c r="TI157" s="228"/>
      <c r="TJ157" s="228"/>
      <c r="TK157" s="228"/>
      <c r="TL157" s="228"/>
      <c r="TM157" s="228"/>
      <c r="TN157" s="228"/>
      <c r="TO157" s="228"/>
      <c r="TP157" s="228"/>
      <c r="TQ157" s="228"/>
      <c r="TR157" s="228"/>
      <c r="TS157" s="228"/>
      <c r="TT157" s="228"/>
      <c r="TU157" s="228"/>
    </row>
    <row r="158" spans="1:541" s="268" customFormat="1" outlineLevel="1" x14ac:dyDescent="0.25">
      <c r="A158" s="232">
        <v>23</v>
      </c>
      <c r="B158" s="193" t="s">
        <v>1075</v>
      </c>
      <c r="C158" s="5" t="s">
        <v>1072</v>
      </c>
      <c r="D158" s="5" t="s">
        <v>1012</v>
      </c>
      <c r="E158" s="5" t="s">
        <v>100</v>
      </c>
      <c r="F158" s="213" t="s">
        <v>0</v>
      </c>
      <c r="G158" s="322" t="s">
        <v>792</v>
      </c>
      <c r="H158" s="213" t="s">
        <v>1167</v>
      </c>
      <c r="I158" s="5"/>
      <c r="J158" s="235" t="s">
        <v>0</v>
      </c>
      <c r="K158" s="5"/>
      <c r="L158" s="5"/>
      <c r="M158" s="213"/>
      <c r="N158" s="5" t="s">
        <v>1159</v>
      </c>
      <c r="O158" s="5" t="s">
        <v>1160</v>
      </c>
      <c r="P158" s="5" t="s">
        <v>1156</v>
      </c>
      <c r="Q158" s="234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 s="228"/>
      <c r="AX158" s="228"/>
      <c r="AY158" s="228"/>
      <c r="AZ158" s="228"/>
      <c r="BA158" s="228"/>
      <c r="BB158" s="228"/>
      <c r="BC158" s="228"/>
      <c r="BD158" s="228"/>
      <c r="BE158" s="228"/>
      <c r="BF158" s="228"/>
      <c r="BG158" s="228"/>
      <c r="BH158" s="228"/>
      <c r="BI158" s="228"/>
      <c r="BJ158" s="228"/>
      <c r="BK158" s="228"/>
      <c r="BL158" s="228"/>
      <c r="BM158" s="228"/>
      <c r="BN158" s="228"/>
      <c r="BO158" s="228"/>
      <c r="BP158" s="228"/>
      <c r="BQ158" s="228"/>
      <c r="BR158" s="228"/>
      <c r="BS158" s="228"/>
      <c r="BT158" s="228"/>
      <c r="BU158" s="228"/>
      <c r="BV158" s="228"/>
      <c r="BW158" s="228"/>
      <c r="BX158" s="228"/>
      <c r="BY158" s="228"/>
      <c r="BZ158" s="228"/>
      <c r="CA158" s="228"/>
      <c r="CB158" s="228"/>
      <c r="CC158" s="228"/>
      <c r="CD158" s="228"/>
      <c r="CE158" s="228"/>
      <c r="CF158" s="228"/>
      <c r="CG158" s="228"/>
      <c r="CH158" s="228"/>
      <c r="CI158" s="228"/>
      <c r="CJ158" s="228"/>
      <c r="CK158" s="228"/>
      <c r="CL158" s="228"/>
      <c r="CM158" s="228"/>
      <c r="CN158" s="228"/>
      <c r="CO158" s="228"/>
      <c r="CP158" s="228"/>
      <c r="CQ158" s="228"/>
      <c r="CR158" s="228"/>
      <c r="CS158" s="228"/>
      <c r="CT158" s="228"/>
      <c r="CU158" s="228"/>
      <c r="CV158" s="228"/>
      <c r="CW158" s="228"/>
      <c r="CX158" s="228"/>
      <c r="CY158" s="228"/>
      <c r="CZ158" s="228"/>
      <c r="DA158" s="228"/>
      <c r="DB158" s="228"/>
      <c r="DC158" s="228"/>
      <c r="DD158" s="228"/>
      <c r="DE158" s="228"/>
      <c r="DF158" s="228"/>
      <c r="DG158" s="228"/>
      <c r="DH158" s="228"/>
      <c r="DI158" s="228"/>
      <c r="DJ158" s="228"/>
      <c r="DK158" s="228"/>
      <c r="DL158" s="228"/>
      <c r="DM158" s="228"/>
      <c r="DN158" s="228"/>
      <c r="DO158" s="228"/>
      <c r="DP158" s="228"/>
      <c r="DQ158" s="228"/>
      <c r="DR158" s="228"/>
      <c r="DS158" s="228"/>
      <c r="DT158" s="228"/>
      <c r="DU158" s="228"/>
      <c r="DV158" s="228"/>
      <c r="DW158" s="228"/>
      <c r="DX158" s="228"/>
      <c r="DY158" s="228"/>
      <c r="DZ158" s="228"/>
      <c r="EA158" s="228"/>
      <c r="EB158" s="228"/>
      <c r="EC158" s="228"/>
      <c r="ED158" s="228"/>
      <c r="EE158" s="228"/>
      <c r="EF158" s="228"/>
      <c r="EG158" s="228"/>
      <c r="EH158" s="228"/>
      <c r="EI158" s="228"/>
      <c r="EJ158" s="228"/>
      <c r="EK158" s="228"/>
      <c r="EL158" s="228"/>
      <c r="EM158" s="228"/>
      <c r="EN158" s="228"/>
      <c r="EO158" s="228"/>
      <c r="EP158" s="228"/>
      <c r="EQ158" s="228"/>
      <c r="ER158" s="228"/>
      <c r="ES158" s="228"/>
      <c r="ET158" s="228"/>
      <c r="EU158" s="228"/>
      <c r="EV158" s="228"/>
      <c r="EW158" s="228"/>
      <c r="EX158" s="228"/>
      <c r="EY158" s="228"/>
      <c r="EZ158" s="228"/>
      <c r="FA158" s="228"/>
      <c r="FB158" s="228"/>
      <c r="FC158" s="228"/>
      <c r="FD158" s="228"/>
      <c r="FE158" s="228"/>
      <c r="FF158" s="228"/>
      <c r="FG158" s="228"/>
      <c r="FH158" s="228"/>
      <c r="FI158" s="228"/>
      <c r="FJ158" s="228"/>
      <c r="FK158" s="228"/>
      <c r="FL158" s="228"/>
      <c r="FM158" s="228"/>
      <c r="FN158" s="228"/>
      <c r="FO158" s="228"/>
      <c r="FP158" s="228"/>
      <c r="FQ158" s="228"/>
      <c r="FR158" s="228"/>
      <c r="FS158" s="228"/>
      <c r="FT158" s="228"/>
      <c r="FU158" s="228"/>
      <c r="FV158" s="228"/>
      <c r="FW158" s="228"/>
      <c r="FX158" s="228"/>
      <c r="FY158" s="228"/>
      <c r="FZ158" s="228"/>
      <c r="GA158" s="228"/>
      <c r="GB158" s="228"/>
      <c r="GC158" s="228"/>
      <c r="GD158" s="228"/>
      <c r="GE158" s="228"/>
      <c r="GF158" s="228"/>
      <c r="GG158" s="228"/>
      <c r="GH158" s="228"/>
      <c r="GI158" s="228"/>
      <c r="GJ158" s="228"/>
      <c r="GK158" s="228"/>
      <c r="GL158" s="228"/>
      <c r="GM158" s="228"/>
      <c r="GN158" s="228"/>
      <c r="GO158" s="228"/>
      <c r="GP158" s="228"/>
      <c r="GQ158" s="228"/>
      <c r="GR158" s="228"/>
      <c r="GS158" s="228"/>
      <c r="GT158" s="228"/>
      <c r="GU158" s="228"/>
      <c r="GV158" s="228"/>
      <c r="GW158" s="228"/>
      <c r="GX158" s="228"/>
      <c r="GY158" s="228"/>
      <c r="GZ158" s="228"/>
      <c r="HA158" s="228"/>
      <c r="HB158" s="228"/>
      <c r="HC158" s="228"/>
      <c r="HD158" s="228"/>
      <c r="HE158" s="228"/>
      <c r="HF158" s="228"/>
      <c r="HG158" s="228"/>
      <c r="HH158" s="228"/>
      <c r="HI158" s="228"/>
      <c r="HJ158" s="228"/>
      <c r="HK158" s="228"/>
      <c r="HL158" s="228"/>
      <c r="HM158" s="228"/>
      <c r="HN158" s="228"/>
      <c r="HO158" s="228"/>
      <c r="HP158" s="228"/>
      <c r="HQ158" s="228"/>
      <c r="HR158" s="228"/>
      <c r="HS158" s="228"/>
      <c r="HT158" s="228"/>
      <c r="HU158" s="228"/>
      <c r="HV158" s="228"/>
      <c r="HW158" s="228"/>
      <c r="HX158" s="228"/>
      <c r="HY158" s="228"/>
      <c r="HZ158" s="228"/>
      <c r="IA158" s="228"/>
      <c r="IB158" s="228"/>
      <c r="IC158" s="228"/>
      <c r="ID158" s="228"/>
      <c r="IE158" s="228"/>
      <c r="IF158" s="228"/>
      <c r="IG158" s="228"/>
      <c r="IH158" s="228"/>
      <c r="II158" s="228"/>
      <c r="IJ158" s="228"/>
      <c r="IK158" s="228"/>
      <c r="IL158" s="228"/>
      <c r="IM158" s="228"/>
      <c r="IN158" s="228"/>
      <c r="IO158" s="228"/>
      <c r="IP158" s="228"/>
      <c r="IQ158" s="228"/>
      <c r="IR158" s="228"/>
      <c r="IS158" s="228"/>
      <c r="IT158" s="228"/>
      <c r="IU158" s="228"/>
      <c r="IV158" s="228"/>
      <c r="IW158" s="228"/>
      <c r="IX158" s="228"/>
      <c r="IY158" s="228"/>
      <c r="IZ158" s="228"/>
      <c r="JA158" s="228"/>
      <c r="JB158" s="228"/>
      <c r="JC158" s="228"/>
      <c r="JD158" s="228"/>
      <c r="JE158" s="228"/>
      <c r="JF158" s="228"/>
      <c r="JG158" s="228"/>
      <c r="JH158" s="228"/>
      <c r="JI158" s="228"/>
      <c r="JJ158" s="228"/>
      <c r="JK158" s="228"/>
      <c r="JL158" s="228"/>
      <c r="JM158" s="228"/>
      <c r="JN158" s="228"/>
      <c r="JO158" s="228"/>
      <c r="JP158" s="228"/>
      <c r="JQ158" s="228"/>
      <c r="JR158" s="228"/>
      <c r="JS158" s="228"/>
      <c r="JT158" s="228"/>
      <c r="JU158" s="228"/>
      <c r="JV158" s="228"/>
      <c r="JW158" s="228"/>
      <c r="JX158" s="228"/>
      <c r="JY158" s="228"/>
      <c r="JZ158" s="228"/>
      <c r="KA158" s="228"/>
      <c r="KB158" s="228"/>
      <c r="KC158" s="228"/>
      <c r="KD158" s="228"/>
      <c r="KE158" s="228"/>
      <c r="KF158" s="228"/>
      <c r="KG158" s="228"/>
      <c r="KH158" s="228"/>
      <c r="KI158" s="228"/>
      <c r="KJ158" s="228"/>
      <c r="KK158" s="228"/>
      <c r="KL158" s="228"/>
      <c r="KM158" s="228"/>
      <c r="KN158" s="228"/>
      <c r="KO158" s="228"/>
      <c r="KP158" s="228"/>
      <c r="KQ158" s="228"/>
      <c r="KR158" s="228"/>
      <c r="KS158" s="228"/>
      <c r="KT158" s="228"/>
      <c r="KU158" s="228"/>
      <c r="KV158" s="228"/>
      <c r="KW158" s="228"/>
      <c r="KX158" s="228"/>
      <c r="KY158" s="228"/>
      <c r="KZ158" s="228"/>
      <c r="LA158" s="228"/>
      <c r="LB158" s="228"/>
      <c r="LC158" s="228"/>
      <c r="LD158" s="228"/>
      <c r="LE158" s="228"/>
      <c r="LF158" s="228"/>
      <c r="LG158" s="228"/>
      <c r="LH158" s="228"/>
      <c r="LI158" s="228"/>
      <c r="LJ158" s="228"/>
      <c r="LK158" s="228"/>
      <c r="LL158" s="228"/>
      <c r="LM158" s="228"/>
      <c r="LN158" s="228"/>
      <c r="LO158" s="228"/>
      <c r="LP158" s="228"/>
      <c r="LQ158" s="228"/>
      <c r="LR158" s="228"/>
      <c r="LS158" s="228"/>
      <c r="LT158" s="228"/>
      <c r="LU158" s="228"/>
      <c r="LV158" s="228"/>
      <c r="LW158" s="228"/>
      <c r="LX158" s="228"/>
      <c r="LY158" s="228"/>
      <c r="LZ158" s="228"/>
      <c r="MA158" s="228"/>
      <c r="MB158" s="228"/>
      <c r="MC158" s="228"/>
      <c r="MD158" s="228"/>
      <c r="ME158" s="228"/>
      <c r="MF158" s="228"/>
      <c r="MG158" s="228"/>
      <c r="MH158" s="228"/>
      <c r="MI158" s="228"/>
      <c r="MJ158" s="228"/>
      <c r="MK158" s="228"/>
      <c r="ML158" s="228"/>
      <c r="MM158" s="228"/>
      <c r="MN158" s="228"/>
      <c r="MO158" s="228"/>
      <c r="MP158" s="228"/>
      <c r="MQ158" s="228"/>
      <c r="MR158" s="228"/>
      <c r="MS158" s="228"/>
      <c r="MT158" s="228"/>
      <c r="MU158" s="228"/>
      <c r="MV158" s="228"/>
      <c r="MW158" s="228"/>
      <c r="MX158" s="228"/>
      <c r="MY158" s="228"/>
      <c r="MZ158" s="228"/>
      <c r="NA158" s="228"/>
      <c r="NB158" s="228"/>
      <c r="NC158" s="228"/>
      <c r="ND158" s="228"/>
      <c r="NE158" s="228"/>
      <c r="NF158" s="228"/>
      <c r="NG158" s="228"/>
      <c r="NH158" s="228"/>
      <c r="NI158" s="228"/>
      <c r="NJ158" s="228"/>
      <c r="NK158" s="228"/>
      <c r="NL158" s="228"/>
      <c r="NM158" s="228"/>
      <c r="NN158" s="228"/>
      <c r="NO158" s="228"/>
      <c r="NP158" s="228"/>
      <c r="NQ158" s="228"/>
      <c r="NR158" s="228"/>
      <c r="NS158" s="228"/>
      <c r="NT158" s="228"/>
      <c r="NU158" s="228"/>
      <c r="NV158" s="228"/>
      <c r="NW158" s="228"/>
      <c r="NX158" s="228"/>
      <c r="NY158" s="228"/>
      <c r="NZ158" s="228"/>
      <c r="OA158" s="228"/>
      <c r="OB158" s="228"/>
      <c r="OC158" s="228"/>
      <c r="OD158" s="228"/>
      <c r="OE158" s="228"/>
      <c r="OF158" s="228"/>
      <c r="OG158" s="228"/>
      <c r="OH158" s="228"/>
      <c r="OI158" s="228"/>
      <c r="OJ158" s="228"/>
      <c r="OK158" s="228"/>
      <c r="OL158" s="228"/>
      <c r="OM158" s="228"/>
      <c r="ON158" s="228"/>
      <c r="OO158" s="228"/>
      <c r="OP158" s="228"/>
      <c r="OQ158" s="228"/>
      <c r="OR158" s="228"/>
      <c r="OS158" s="228"/>
      <c r="OT158" s="228"/>
      <c r="OU158" s="228"/>
      <c r="OV158" s="228"/>
      <c r="OW158" s="228"/>
      <c r="OX158" s="228"/>
      <c r="OY158" s="228"/>
      <c r="OZ158" s="228"/>
      <c r="PA158" s="228"/>
      <c r="PB158" s="228"/>
      <c r="PC158" s="228"/>
      <c r="PD158" s="228"/>
      <c r="PE158" s="228"/>
      <c r="PF158" s="228"/>
      <c r="PG158" s="228"/>
      <c r="PH158" s="228"/>
      <c r="PI158" s="228"/>
      <c r="PJ158" s="228"/>
      <c r="PK158" s="228"/>
      <c r="PL158" s="228"/>
      <c r="PM158" s="228"/>
      <c r="PN158" s="228"/>
      <c r="PO158" s="228"/>
      <c r="PP158" s="228"/>
      <c r="PQ158" s="228"/>
      <c r="PR158" s="228"/>
      <c r="PS158" s="228"/>
      <c r="PT158" s="228"/>
      <c r="PU158" s="228"/>
      <c r="PV158" s="228"/>
      <c r="PW158" s="228"/>
      <c r="PX158" s="228"/>
      <c r="PY158" s="228"/>
      <c r="PZ158" s="228"/>
      <c r="QA158" s="228"/>
      <c r="QB158" s="228"/>
      <c r="QC158" s="228"/>
      <c r="QD158" s="228"/>
      <c r="QE158" s="228"/>
      <c r="QF158" s="228"/>
      <c r="QG158" s="228"/>
      <c r="QH158" s="228"/>
      <c r="QI158" s="228"/>
      <c r="QJ158" s="228"/>
      <c r="QK158" s="228"/>
      <c r="QL158" s="228"/>
      <c r="QM158" s="228"/>
      <c r="QN158" s="228"/>
      <c r="QO158" s="228"/>
      <c r="QP158" s="228"/>
      <c r="QQ158" s="228"/>
      <c r="QR158" s="228"/>
      <c r="QS158" s="228"/>
      <c r="QT158" s="228"/>
      <c r="QU158" s="228"/>
      <c r="QV158" s="228"/>
      <c r="QW158" s="228"/>
      <c r="QX158" s="228"/>
      <c r="QY158" s="228"/>
      <c r="QZ158" s="228"/>
      <c r="RA158" s="228"/>
      <c r="RB158" s="228"/>
      <c r="RC158" s="228"/>
      <c r="RD158" s="228"/>
      <c r="RE158" s="228"/>
      <c r="RF158" s="228"/>
      <c r="RG158" s="228"/>
      <c r="RH158" s="228"/>
      <c r="RI158" s="228"/>
      <c r="RJ158" s="228"/>
      <c r="RK158" s="228"/>
      <c r="RL158" s="228"/>
      <c r="RM158" s="228"/>
      <c r="RN158" s="228"/>
      <c r="RO158" s="228"/>
      <c r="RP158" s="228"/>
      <c r="RQ158" s="228"/>
      <c r="RR158" s="228"/>
      <c r="RS158" s="228"/>
      <c r="RT158" s="228"/>
      <c r="RU158" s="228"/>
      <c r="RV158" s="228"/>
      <c r="RW158" s="228"/>
      <c r="RX158" s="228"/>
      <c r="RY158" s="228"/>
      <c r="RZ158" s="228"/>
      <c r="SA158" s="228"/>
      <c r="SB158" s="228"/>
      <c r="SC158" s="228"/>
      <c r="SD158" s="228"/>
      <c r="SE158" s="228"/>
      <c r="SF158" s="228"/>
      <c r="SG158" s="228"/>
      <c r="SH158" s="228"/>
      <c r="SI158" s="228"/>
      <c r="SJ158" s="228"/>
      <c r="SK158" s="228"/>
      <c r="SL158" s="228"/>
      <c r="SM158" s="228"/>
      <c r="SN158" s="228"/>
      <c r="SO158" s="228"/>
      <c r="SP158" s="228"/>
      <c r="SQ158" s="228"/>
      <c r="SR158" s="228"/>
      <c r="SS158" s="228"/>
      <c r="ST158" s="228"/>
      <c r="SU158" s="228"/>
      <c r="SV158" s="228"/>
      <c r="SW158" s="228"/>
      <c r="SX158" s="228"/>
      <c r="SY158" s="228"/>
      <c r="SZ158" s="228"/>
      <c r="TA158" s="228"/>
      <c r="TB158" s="228"/>
      <c r="TC158" s="228"/>
      <c r="TD158" s="228"/>
      <c r="TE158" s="228"/>
      <c r="TF158" s="228"/>
      <c r="TG158" s="228"/>
      <c r="TH158" s="228"/>
      <c r="TI158" s="228"/>
      <c r="TJ158" s="228"/>
      <c r="TK158" s="228"/>
      <c r="TL158" s="228"/>
      <c r="TM158" s="228"/>
      <c r="TN158" s="228"/>
      <c r="TO158" s="228"/>
      <c r="TP158" s="228"/>
      <c r="TQ158" s="228"/>
      <c r="TR158" s="228"/>
      <c r="TS158" s="228"/>
      <c r="TT158" s="228"/>
      <c r="TU158" s="228"/>
    </row>
    <row r="159" spans="1:541" s="268" customFormat="1" outlineLevel="1" x14ac:dyDescent="0.25">
      <c r="A159" s="232">
        <v>24</v>
      </c>
      <c r="B159" s="193" t="s">
        <v>1075</v>
      </c>
      <c r="C159" s="5" t="s">
        <v>1072</v>
      </c>
      <c r="D159" s="5" t="s">
        <v>1058</v>
      </c>
      <c r="E159" s="5" t="s">
        <v>100</v>
      </c>
      <c r="F159" s="213" t="s">
        <v>0</v>
      </c>
      <c r="G159" s="322" t="s">
        <v>792</v>
      </c>
      <c r="H159" s="213" t="s">
        <v>1167</v>
      </c>
      <c r="I159" s="5"/>
      <c r="J159" s="235" t="s">
        <v>0</v>
      </c>
      <c r="K159" s="5"/>
      <c r="L159" s="5"/>
      <c r="M159" s="213"/>
      <c r="N159" s="5" t="s">
        <v>1159</v>
      </c>
      <c r="O159" s="5" t="s">
        <v>1160</v>
      </c>
      <c r="P159" s="5" t="s">
        <v>1156</v>
      </c>
      <c r="Q159" s="234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 s="228"/>
      <c r="AX159" s="228"/>
      <c r="AY159" s="228"/>
      <c r="AZ159" s="228"/>
      <c r="BA159" s="228"/>
      <c r="BB159" s="228"/>
      <c r="BC159" s="228"/>
      <c r="BD159" s="228"/>
      <c r="BE159" s="228"/>
      <c r="BF159" s="228"/>
      <c r="BG159" s="228"/>
      <c r="BH159" s="228"/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8"/>
      <c r="BS159" s="228"/>
      <c r="BT159" s="228"/>
      <c r="BU159" s="228"/>
      <c r="BV159" s="228"/>
      <c r="BW159" s="228"/>
      <c r="BX159" s="228"/>
      <c r="BY159" s="228"/>
      <c r="BZ159" s="228"/>
      <c r="CA159" s="228"/>
      <c r="CB159" s="228"/>
      <c r="CC159" s="228"/>
      <c r="CD159" s="228"/>
      <c r="CE159" s="228"/>
      <c r="CF159" s="228"/>
      <c r="CG159" s="228"/>
      <c r="CH159" s="228"/>
      <c r="CI159" s="228"/>
      <c r="CJ159" s="228"/>
      <c r="CK159" s="228"/>
      <c r="CL159" s="228"/>
      <c r="CM159" s="228"/>
      <c r="CN159" s="228"/>
      <c r="CO159" s="228"/>
      <c r="CP159" s="228"/>
      <c r="CQ159" s="228"/>
      <c r="CR159" s="228"/>
      <c r="CS159" s="228"/>
      <c r="CT159" s="228"/>
      <c r="CU159" s="228"/>
      <c r="CV159" s="228"/>
      <c r="CW159" s="228"/>
      <c r="CX159" s="228"/>
      <c r="CY159" s="228"/>
      <c r="CZ159" s="228"/>
      <c r="DA159" s="228"/>
      <c r="DB159" s="228"/>
      <c r="DC159" s="228"/>
      <c r="DD159" s="228"/>
      <c r="DE159" s="228"/>
      <c r="DF159" s="228"/>
      <c r="DG159" s="228"/>
      <c r="DH159" s="228"/>
      <c r="DI159" s="228"/>
      <c r="DJ159" s="228"/>
      <c r="DK159" s="228"/>
      <c r="DL159" s="228"/>
      <c r="DM159" s="228"/>
      <c r="DN159" s="228"/>
      <c r="DO159" s="228"/>
      <c r="DP159" s="228"/>
      <c r="DQ159" s="228"/>
      <c r="DR159" s="228"/>
      <c r="DS159" s="228"/>
      <c r="DT159" s="228"/>
      <c r="DU159" s="228"/>
      <c r="DV159" s="228"/>
      <c r="DW159" s="228"/>
      <c r="DX159" s="228"/>
      <c r="DY159" s="228"/>
      <c r="DZ159" s="228"/>
      <c r="EA159" s="228"/>
      <c r="EB159" s="228"/>
      <c r="EC159" s="228"/>
      <c r="ED159" s="228"/>
      <c r="EE159" s="228"/>
      <c r="EF159" s="228"/>
      <c r="EG159" s="228"/>
      <c r="EH159" s="228"/>
      <c r="EI159" s="228"/>
      <c r="EJ159" s="228"/>
      <c r="EK159" s="228"/>
      <c r="EL159" s="228"/>
      <c r="EM159" s="228"/>
      <c r="EN159" s="228"/>
      <c r="EO159" s="228"/>
      <c r="EP159" s="228"/>
      <c r="EQ159" s="228"/>
      <c r="ER159" s="228"/>
      <c r="ES159" s="228"/>
      <c r="ET159" s="228"/>
      <c r="EU159" s="228"/>
      <c r="EV159" s="228"/>
      <c r="EW159" s="228"/>
      <c r="EX159" s="228"/>
      <c r="EY159" s="228"/>
      <c r="EZ159" s="228"/>
      <c r="FA159" s="228"/>
      <c r="FB159" s="228"/>
      <c r="FC159" s="228"/>
      <c r="FD159" s="228"/>
      <c r="FE159" s="228"/>
      <c r="FF159" s="228"/>
      <c r="FG159" s="228"/>
      <c r="FH159" s="228"/>
      <c r="FI159" s="228"/>
      <c r="FJ159" s="228"/>
      <c r="FK159" s="228"/>
      <c r="FL159" s="228"/>
      <c r="FM159" s="228"/>
      <c r="FN159" s="228"/>
      <c r="FO159" s="228"/>
      <c r="FP159" s="228"/>
      <c r="FQ159" s="228"/>
      <c r="FR159" s="228"/>
      <c r="FS159" s="228"/>
      <c r="FT159" s="228"/>
      <c r="FU159" s="228"/>
      <c r="FV159" s="228"/>
      <c r="FW159" s="228"/>
      <c r="FX159" s="228"/>
      <c r="FY159" s="228"/>
      <c r="FZ159" s="228"/>
      <c r="GA159" s="228"/>
      <c r="GB159" s="228"/>
      <c r="GC159" s="228"/>
      <c r="GD159" s="228"/>
      <c r="GE159" s="228"/>
      <c r="GF159" s="228"/>
      <c r="GG159" s="228"/>
      <c r="GH159" s="228"/>
      <c r="GI159" s="228"/>
      <c r="GJ159" s="228"/>
      <c r="GK159" s="228"/>
      <c r="GL159" s="228"/>
      <c r="GM159" s="228"/>
      <c r="GN159" s="228"/>
      <c r="GO159" s="228"/>
      <c r="GP159" s="228"/>
      <c r="GQ159" s="228"/>
      <c r="GR159" s="228"/>
      <c r="GS159" s="228"/>
      <c r="GT159" s="228"/>
      <c r="GU159" s="228"/>
      <c r="GV159" s="228"/>
      <c r="GW159" s="228"/>
      <c r="GX159" s="228"/>
      <c r="GY159" s="228"/>
      <c r="GZ159" s="228"/>
      <c r="HA159" s="228"/>
      <c r="HB159" s="228"/>
      <c r="HC159" s="228"/>
      <c r="HD159" s="228"/>
      <c r="HE159" s="228"/>
      <c r="HF159" s="228"/>
      <c r="HG159" s="228"/>
      <c r="HH159" s="228"/>
      <c r="HI159" s="228"/>
      <c r="HJ159" s="228"/>
      <c r="HK159" s="228"/>
      <c r="HL159" s="228"/>
      <c r="HM159" s="228"/>
      <c r="HN159" s="228"/>
      <c r="HO159" s="228"/>
      <c r="HP159" s="228"/>
      <c r="HQ159" s="228"/>
      <c r="HR159" s="228"/>
      <c r="HS159" s="228"/>
      <c r="HT159" s="228"/>
      <c r="HU159" s="228"/>
      <c r="HV159" s="228"/>
      <c r="HW159" s="228"/>
      <c r="HX159" s="228"/>
      <c r="HY159" s="228"/>
      <c r="HZ159" s="228"/>
      <c r="IA159" s="228"/>
      <c r="IB159" s="228"/>
      <c r="IC159" s="228"/>
      <c r="ID159" s="228"/>
      <c r="IE159" s="228"/>
      <c r="IF159" s="228"/>
      <c r="IG159" s="228"/>
      <c r="IH159" s="228"/>
      <c r="II159" s="228"/>
      <c r="IJ159" s="228"/>
      <c r="IK159" s="228"/>
      <c r="IL159" s="228"/>
      <c r="IM159" s="228"/>
      <c r="IN159" s="228"/>
      <c r="IO159" s="228"/>
      <c r="IP159" s="228"/>
      <c r="IQ159" s="228"/>
      <c r="IR159" s="228"/>
      <c r="IS159" s="228"/>
      <c r="IT159" s="228"/>
      <c r="IU159" s="228"/>
      <c r="IV159" s="228"/>
      <c r="IW159" s="228"/>
      <c r="IX159" s="228"/>
      <c r="IY159" s="228"/>
      <c r="IZ159" s="228"/>
      <c r="JA159" s="228"/>
      <c r="JB159" s="228"/>
      <c r="JC159" s="228"/>
      <c r="JD159" s="228"/>
      <c r="JE159" s="228"/>
      <c r="JF159" s="228"/>
      <c r="JG159" s="228"/>
      <c r="JH159" s="228"/>
      <c r="JI159" s="228"/>
      <c r="JJ159" s="228"/>
      <c r="JK159" s="228"/>
      <c r="JL159" s="228"/>
      <c r="JM159" s="228"/>
      <c r="JN159" s="228"/>
      <c r="JO159" s="228"/>
      <c r="JP159" s="228"/>
      <c r="JQ159" s="228"/>
      <c r="JR159" s="228"/>
      <c r="JS159" s="228"/>
      <c r="JT159" s="228"/>
      <c r="JU159" s="228"/>
      <c r="JV159" s="228"/>
      <c r="JW159" s="228"/>
      <c r="JX159" s="228"/>
      <c r="JY159" s="228"/>
      <c r="JZ159" s="228"/>
      <c r="KA159" s="228"/>
      <c r="KB159" s="228"/>
      <c r="KC159" s="228"/>
      <c r="KD159" s="228"/>
      <c r="KE159" s="228"/>
      <c r="KF159" s="228"/>
      <c r="KG159" s="228"/>
      <c r="KH159" s="228"/>
      <c r="KI159" s="228"/>
      <c r="KJ159" s="228"/>
      <c r="KK159" s="228"/>
      <c r="KL159" s="228"/>
      <c r="KM159" s="228"/>
      <c r="KN159" s="228"/>
      <c r="KO159" s="228"/>
      <c r="KP159" s="228"/>
      <c r="KQ159" s="228"/>
      <c r="KR159" s="228"/>
      <c r="KS159" s="228"/>
      <c r="KT159" s="228"/>
      <c r="KU159" s="228"/>
      <c r="KV159" s="228"/>
      <c r="KW159" s="228"/>
      <c r="KX159" s="228"/>
      <c r="KY159" s="228"/>
      <c r="KZ159" s="228"/>
      <c r="LA159" s="228"/>
      <c r="LB159" s="228"/>
      <c r="LC159" s="228"/>
      <c r="LD159" s="228"/>
      <c r="LE159" s="228"/>
      <c r="LF159" s="228"/>
      <c r="LG159" s="228"/>
      <c r="LH159" s="228"/>
      <c r="LI159" s="228"/>
      <c r="LJ159" s="228"/>
      <c r="LK159" s="228"/>
      <c r="LL159" s="228"/>
      <c r="LM159" s="228"/>
      <c r="LN159" s="228"/>
      <c r="LO159" s="228"/>
      <c r="LP159" s="228"/>
      <c r="LQ159" s="228"/>
      <c r="LR159" s="228"/>
      <c r="LS159" s="228"/>
      <c r="LT159" s="228"/>
      <c r="LU159" s="228"/>
      <c r="LV159" s="228"/>
      <c r="LW159" s="228"/>
      <c r="LX159" s="228"/>
      <c r="LY159" s="228"/>
      <c r="LZ159" s="228"/>
      <c r="MA159" s="228"/>
      <c r="MB159" s="228"/>
      <c r="MC159" s="228"/>
      <c r="MD159" s="228"/>
      <c r="ME159" s="228"/>
      <c r="MF159" s="228"/>
      <c r="MG159" s="228"/>
      <c r="MH159" s="228"/>
      <c r="MI159" s="228"/>
      <c r="MJ159" s="228"/>
      <c r="MK159" s="228"/>
      <c r="ML159" s="228"/>
      <c r="MM159" s="228"/>
      <c r="MN159" s="228"/>
      <c r="MO159" s="228"/>
      <c r="MP159" s="228"/>
      <c r="MQ159" s="228"/>
      <c r="MR159" s="228"/>
      <c r="MS159" s="228"/>
      <c r="MT159" s="228"/>
      <c r="MU159" s="228"/>
      <c r="MV159" s="228"/>
      <c r="MW159" s="228"/>
      <c r="MX159" s="228"/>
      <c r="MY159" s="228"/>
      <c r="MZ159" s="228"/>
      <c r="NA159" s="228"/>
      <c r="NB159" s="228"/>
      <c r="NC159" s="228"/>
      <c r="ND159" s="228"/>
      <c r="NE159" s="228"/>
      <c r="NF159" s="228"/>
      <c r="NG159" s="228"/>
      <c r="NH159" s="228"/>
      <c r="NI159" s="228"/>
      <c r="NJ159" s="228"/>
      <c r="NK159" s="228"/>
      <c r="NL159" s="228"/>
      <c r="NM159" s="228"/>
      <c r="NN159" s="228"/>
      <c r="NO159" s="228"/>
      <c r="NP159" s="228"/>
      <c r="NQ159" s="228"/>
      <c r="NR159" s="228"/>
      <c r="NS159" s="228"/>
      <c r="NT159" s="228"/>
      <c r="NU159" s="228"/>
      <c r="NV159" s="228"/>
      <c r="NW159" s="228"/>
      <c r="NX159" s="228"/>
      <c r="NY159" s="228"/>
      <c r="NZ159" s="228"/>
      <c r="OA159" s="228"/>
      <c r="OB159" s="228"/>
      <c r="OC159" s="228"/>
      <c r="OD159" s="228"/>
      <c r="OE159" s="228"/>
      <c r="OF159" s="228"/>
      <c r="OG159" s="228"/>
      <c r="OH159" s="228"/>
      <c r="OI159" s="228"/>
      <c r="OJ159" s="228"/>
      <c r="OK159" s="228"/>
      <c r="OL159" s="228"/>
      <c r="OM159" s="228"/>
      <c r="ON159" s="228"/>
      <c r="OO159" s="228"/>
      <c r="OP159" s="228"/>
      <c r="OQ159" s="228"/>
      <c r="OR159" s="228"/>
      <c r="OS159" s="228"/>
      <c r="OT159" s="228"/>
      <c r="OU159" s="228"/>
      <c r="OV159" s="228"/>
      <c r="OW159" s="228"/>
      <c r="OX159" s="228"/>
      <c r="OY159" s="228"/>
      <c r="OZ159" s="228"/>
      <c r="PA159" s="228"/>
      <c r="PB159" s="228"/>
      <c r="PC159" s="228"/>
      <c r="PD159" s="228"/>
      <c r="PE159" s="228"/>
      <c r="PF159" s="228"/>
      <c r="PG159" s="228"/>
      <c r="PH159" s="228"/>
      <c r="PI159" s="228"/>
      <c r="PJ159" s="228"/>
      <c r="PK159" s="228"/>
      <c r="PL159" s="228"/>
      <c r="PM159" s="228"/>
      <c r="PN159" s="228"/>
      <c r="PO159" s="228"/>
      <c r="PP159" s="228"/>
      <c r="PQ159" s="228"/>
      <c r="PR159" s="228"/>
      <c r="PS159" s="228"/>
      <c r="PT159" s="228"/>
      <c r="PU159" s="228"/>
      <c r="PV159" s="228"/>
      <c r="PW159" s="228"/>
      <c r="PX159" s="228"/>
      <c r="PY159" s="228"/>
      <c r="PZ159" s="228"/>
      <c r="QA159" s="228"/>
      <c r="QB159" s="228"/>
      <c r="QC159" s="228"/>
      <c r="QD159" s="228"/>
      <c r="QE159" s="228"/>
      <c r="QF159" s="228"/>
      <c r="QG159" s="228"/>
      <c r="QH159" s="228"/>
      <c r="QI159" s="228"/>
      <c r="QJ159" s="228"/>
      <c r="QK159" s="228"/>
      <c r="QL159" s="228"/>
      <c r="QM159" s="228"/>
      <c r="QN159" s="228"/>
      <c r="QO159" s="228"/>
      <c r="QP159" s="228"/>
      <c r="QQ159" s="228"/>
      <c r="QR159" s="228"/>
      <c r="QS159" s="228"/>
      <c r="QT159" s="228"/>
      <c r="QU159" s="228"/>
      <c r="QV159" s="228"/>
      <c r="QW159" s="228"/>
      <c r="QX159" s="228"/>
      <c r="QY159" s="228"/>
      <c r="QZ159" s="228"/>
      <c r="RA159" s="228"/>
      <c r="RB159" s="228"/>
      <c r="RC159" s="228"/>
      <c r="RD159" s="228"/>
      <c r="RE159" s="228"/>
      <c r="RF159" s="228"/>
      <c r="RG159" s="228"/>
      <c r="RH159" s="228"/>
      <c r="RI159" s="228"/>
      <c r="RJ159" s="228"/>
      <c r="RK159" s="228"/>
      <c r="RL159" s="228"/>
      <c r="RM159" s="228"/>
      <c r="RN159" s="228"/>
      <c r="RO159" s="228"/>
      <c r="RP159" s="228"/>
      <c r="RQ159" s="228"/>
      <c r="RR159" s="228"/>
      <c r="RS159" s="228"/>
      <c r="RT159" s="228"/>
      <c r="RU159" s="228"/>
      <c r="RV159" s="228"/>
      <c r="RW159" s="228"/>
      <c r="RX159" s="228"/>
      <c r="RY159" s="228"/>
      <c r="RZ159" s="228"/>
      <c r="SA159" s="228"/>
      <c r="SB159" s="228"/>
      <c r="SC159" s="228"/>
      <c r="SD159" s="228"/>
      <c r="SE159" s="228"/>
      <c r="SF159" s="228"/>
      <c r="SG159" s="228"/>
      <c r="SH159" s="228"/>
      <c r="SI159" s="228"/>
      <c r="SJ159" s="228"/>
      <c r="SK159" s="228"/>
      <c r="SL159" s="228"/>
      <c r="SM159" s="228"/>
      <c r="SN159" s="228"/>
      <c r="SO159" s="228"/>
      <c r="SP159" s="228"/>
      <c r="SQ159" s="228"/>
      <c r="SR159" s="228"/>
      <c r="SS159" s="228"/>
      <c r="ST159" s="228"/>
      <c r="SU159" s="228"/>
      <c r="SV159" s="228"/>
      <c r="SW159" s="228"/>
      <c r="SX159" s="228"/>
      <c r="SY159" s="228"/>
      <c r="SZ159" s="228"/>
      <c r="TA159" s="228"/>
      <c r="TB159" s="228"/>
      <c r="TC159" s="228"/>
      <c r="TD159" s="228"/>
      <c r="TE159" s="228"/>
      <c r="TF159" s="228"/>
      <c r="TG159" s="228"/>
      <c r="TH159" s="228"/>
      <c r="TI159" s="228"/>
      <c r="TJ159" s="228"/>
      <c r="TK159" s="228"/>
      <c r="TL159" s="228"/>
      <c r="TM159" s="228"/>
      <c r="TN159" s="228"/>
      <c r="TO159" s="228"/>
      <c r="TP159" s="228"/>
      <c r="TQ159" s="228"/>
      <c r="TR159" s="228"/>
      <c r="TS159" s="228"/>
      <c r="TT159" s="228"/>
      <c r="TU159" s="228"/>
    </row>
    <row r="160" spans="1:541" s="268" customFormat="1" outlineLevel="1" x14ac:dyDescent="0.25">
      <c r="A160" s="232">
        <v>25</v>
      </c>
      <c r="B160" s="193" t="s">
        <v>1075</v>
      </c>
      <c r="C160" s="5" t="s">
        <v>668</v>
      </c>
      <c r="D160" s="5" t="s">
        <v>1060</v>
      </c>
      <c r="E160" s="5" t="s">
        <v>100</v>
      </c>
      <c r="F160" s="213" t="s">
        <v>0</v>
      </c>
      <c r="G160" s="322" t="s">
        <v>792</v>
      </c>
      <c r="H160" s="213" t="s">
        <v>1167</v>
      </c>
      <c r="I160" s="5"/>
      <c r="J160" s="5"/>
      <c r="K160" s="5"/>
      <c r="L160" s="5"/>
      <c r="M160" s="213"/>
      <c r="N160" s="5" t="s">
        <v>1159</v>
      </c>
      <c r="O160" s="5" t="s">
        <v>1160</v>
      </c>
      <c r="P160" s="5" t="s">
        <v>1156</v>
      </c>
      <c r="Q160" s="234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 s="228"/>
      <c r="AX160" s="228"/>
      <c r="AY160" s="228"/>
      <c r="AZ160" s="228"/>
      <c r="BA160" s="228"/>
      <c r="BB160" s="228"/>
      <c r="BC160" s="228"/>
      <c r="BD160" s="228"/>
      <c r="BE160" s="228"/>
      <c r="BF160" s="228"/>
      <c r="BG160" s="228"/>
      <c r="BH160" s="228"/>
      <c r="BI160" s="228"/>
      <c r="BJ160" s="228"/>
      <c r="BK160" s="228"/>
      <c r="BL160" s="228"/>
      <c r="BM160" s="228"/>
      <c r="BN160" s="228"/>
      <c r="BO160" s="228"/>
      <c r="BP160" s="228"/>
      <c r="BQ160" s="228"/>
      <c r="BR160" s="228"/>
      <c r="BS160" s="228"/>
      <c r="BT160" s="228"/>
      <c r="BU160" s="228"/>
      <c r="BV160" s="228"/>
      <c r="BW160" s="228"/>
      <c r="BX160" s="228"/>
      <c r="BY160" s="228"/>
      <c r="BZ160" s="228"/>
      <c r="CA160" s="228"/>
      <c r="CB160" s="228"/>
      <c r="CC160" s="228"/>
      <c r="CD160" s="228"/>
      <c r="CE160" s="228"/>
      <c r="CF160" s="228"/>
      <c r="CG160" s="228"/>
      <c r="CH160" s="228"/>
      <c r="CI160" s="228"/>
      <c r="CJ160" s="228"/>
      <c r="CK160" s="228"/>
      <c r="CL160" s="228"/>
      <c r="CM160" s="228"/>
      <c r="CN160" s="228"/>
      <c r="CO160" s="228"/>
      <c r="CP160" s="228"/>
      <c r="CQ160" s="228"/>
      <c r="CR160" s="228"/>
      <c r="CS160" s="228"/>
      <c r="CT160" s="228"/>
      <c r="CU160" s="228"/>
      <c r="CV160" s="228"/>
      <c r="CW160" s="228"/>
      <c r="CX160" s="228"/>
      <c r="CY160" s="228"/>
      <c r="CZ160" s="228"/>
      <c r="DA160" s="228"/>
      <c r="DB160" s="228"/>
      <c r="DC160" s="228"/>
      <c r="DD160" s="228"/>
      <c r="DE160" s="228"/>
      <c r="DF160" s="228"/>
      <c r="DG160" s="228"/>
      <c r="DH160" s="228"/>
      <c r="DI160" s="228"/>
      <c r="DJ160" s="228"/>
      <c r="DK160" s="228"/>
      <c r="DL160" s="228"/>
      <c r="DM160" s="228"/>
      <c r="DN160" s="228"/>
      <c r="DO160" s="228"/>
      <c r="DP160" s="228"/>
      <c r="DQ160" s="228"/>
      <c r="DR160" s="228"/>
      <c r="DS160" s="228"/>
      <c r="DT160" s="228"/>
      <c r="DU160" s="228"/>
      <c r="DV160" s="228"/>
      <c r="DW160" s="228"/>
      <c r="DX160" s="228"/>
      <c r="DY160" s="228"/>
      <c r="DZ160" s="228"/>
      <c r="EA160" s="228"/>
      <c r="EB160" s="228"/>
      <c r="EC160" s="228"/>
      <c r="ED160" s="228"/>
      <c r="EE160" s="228"/>
      <c r="EF160" s="228"/>
      <c r="EG160" s="228"/>
      <c r="EH160" s="228"/>
      <c r="EI160" s="228"/>
      <c r="EJ160" s="228"/>
      <c r="EK160" s="228"/>
      <c r="EL160" s="228"/>
      <c r="EM160" s="228"/>
      <c r="EN160" s="228"/>
      <c r="EO160" s="228"/>
      <c r="EP160" s="228"/>
      <c r="EQ160" s="228"/>
      <c r="ER160" s="228"/>
      <c r="ES160" s="228"/>
      <c r="ET160" s="228"/>
      <c r="EU160" s="228"/>
      <c r="EV160" s="228"/>
      <c r="EW160" s="228"/>
      <c r="EX160" s="228"/>
      <c r="EY160" s="228"/>
      <c r="EZ160" s="228"/>
      <c r="FA160" s="228"/>
      <c r="FB160" s="228"/>
      <c r="FC160" s="228"/>
      <c r="FD160" s="228"/>
      <c r="FE160" s="228"/>
      <c r="FF160" s="228"/>
      <c r="FG160" s="228"/>
      <c r="FH160" s="228"/>
      <c r="FI160" s="228"/>
      <c r="FJ160" s="228"/>
      <c r="FK160" s="228"/>
      <c r="FL160" s="228"/>
      <c r="FM160" s="228"/>
      <c r="FN160" s="228"/>
      <c r="FO160" s="228"/>
      <c r="FP160" s="228"/>
      <c r="FQ160" s="228"/>
      <c r="FR160" s="228"/>
      <c r="FS160" s="228"/>
      <c r="FT160" s="228"/>
      <c r="FU160" s="228"/>
      <c r="FV160" s="228"/>
      <c r="FW160" s="228"/>
      <c r="FX160" s="228"/>
      <c r="FY160" s="228"/>
      <c r="FZ160" s="228"/>
      <c r="GA160" s="228"/>
      <c r="GB160" s="228"/>
      <c r="GC160" s="228"/>
      <c r="GD160" s="228"/>
      <c r="GE160" s="228"/>
      <c r="GF160" s="228"/>
      <c r="GG160" s="228"/>
      <c r="GH160" s="228"/>
      <c r="GI160" s="228"/>
      <c r="GJ160" s="228"/>
      <c r="GK160" s="228"/>
      <c r="GL160" s="228"/>
      <c r="GM160" s="228"/>
      <c r="GN160" s="228"/>
      <c r="GO160" s="228"/>
      <c r="GP160" s="228"/>
      <c r="GQ160" s="228"/>
      <c r="GR160" s="228"/>
      <c r="GS160" s="228"/>
      <c r="GT160" s="228"/>
      <c r="GU160" s="228"/>
      <c r="GV160" s="228"/>
      <c r="GW160" s="228"/>
      <c r="GX160" s="228"/>
      <c r="GY160" s="228"/>
      <c r="GZ160" s="228"/>
      <c r="HA160" s="228"/>
      <c r="HB160" s="228"/>
      <c r="HC160" s="228"/>
      <c r="HD160" s="228"/>
      <c r="HE160" s="228"/>
      <c r="HF160" s="228"/>
      <c r="HG160" s="228"/>
      <c r="HH160" s="228"/>
      <c r="HI160" s="228"/>
      <c r="HJ160" s="228"/>
      <c r="HK160" s="228"/>
      <c r="HL160" s="228"/>
      <c r="HM160" s="228"/>
      <c r="HN160" s="228"/>
      <c r="HO160" s="228"/>
      <c r="HP160" s="228"/>
      <c r="HQ160" s="228"/>
      <c r="HR160" s="228"/>
      <c r="HS160" s="228"/>
      <c r="HT160" s="228"/>
      <c r="HU160" s="228"/>
      <c r="HV160" s="228"/>
      <c r="HW160" s="228"/>
      <c r="HX160" s="228"/>
      <c r="HY160" s="228"/>
      <c r="HZ160" s="228"/>
      <c r="IA160" s="228"/>
      <c r="IB160" s="228"/>
      <c r="IC160" s="228"/>
      <c r="ID160" s="228"/>
      <c r="IE160" s="228"/>
      <c r="IF160" s="228"/>
      <c r="IG160" s="228"/>
      <c r="IH160" s="228"/>
      <c r="II160" s="228"/>
      <c r="IJ160" s="228"/>
      <c r="IK160" s="228"/>
      <c r="IL160" s="228"/>
      <c r="IM160" s="228"/>
      <c r="IN160" s="228"/>
      <c r="IO160" s="228"/>
      <c r="IP160" s="228"/>
      <c r="IQ160" s="228"/>
      <c r="IR160" s="228"/>
      <c r="IS160" s="228"/>
      <c r="IT160" s="228"/>
      <c r="IU160" s="228"/>
      <c r="IV160" s="228"/>
      <c r="IW160" s="228"/>
      <c r="IX160" s="228"/>
      <c r="IY160" s="228"/>
      <c r="IZ160" s="228"/>
      <c r="JA160" s="228"/>
      <c r="JB160" s="228"/>
      <c r="JC160" s="228"/>
      <c r="JD160" s="228"/>
      <c r="JE160" s="228"/>
      <c r="JF160" s="228"/>
      <c r="JG160" s="228"/>
      <c r="JH160" s="228"/>
      <c r="JI160" s="228"/>
      <c r="JJ160" s="228"/>
      <c r="JK160" s="228"/>
      <c r="JL160" s="228"/>
      <c r="JM160" s="228"/>
      <c r="JN160" s="228"/>
      <c r="JO160" s="228"/>
      <c r="JP160" s="228"/>
      <c r="JQ160" s="228"/>
      <c r="JR160" s="228"/>
      <c r="JS160" s="228"/>
      <c r="JT160" s="228"/>
      <c r="JU160" s="228"/>
      <c r="JV160" s="228"/>
      <c r="JW160" s="228"/>
      <c r="JX160" s="228"/>
      <c r="JY160" s="228"/>
      <c r="JZ160" s="228"/>
      <c r="KA160" s="228"/>
      <c r="KB160" s="228"/>
      <c r="KC160" s="228"/>
      <c r="KD160" s="228"/>
      <c r="KE160" s="228"/>
      <c r="KF160" s="228"/>
      <c r="KG160" s="228"/>
      <c r="KH160" s="228"/>
      <c r="KI160" s="228"/>
      <c r="KJ160" s="228"/>
      <c r="KK160" s="228"/>
      <c r="KL160" s="228"/>
      <c r="KM160" s="228"/>
      <c r="KN160" s="228"/>
      <c r="KO160" s="228"/>
      <c r="KP160" s="228"/>
      <c r="KQ160" s="228"/>
      <c r="KR160" s="228"/>
      <c r="KS160" s="228"/>
      <c r="KT160" s="228"/>
      <c r="KU160" s="228"/>
      <c r="KV160" s="228"/>
      <c r="KW160" s="228"/>
      <c r="KX160" s="228"/>
      <c r="KY160" s="228"/>
      <c r="KZ160" s="228"/>
      <c r="LA160" s="228"/>
      <c r="LB160" s="228"/>
      <c r="LC160" s="228"/>
      <c r="LD160" s="228"/>
      <c r="LE160" s="228"/>
      <c r="LF160" s="228"/>
      <c r="LG160" s="228"/>
      <c r="LH160" s="228"/>
      <c r="LI160" s="228"/>
      <c r="LJ160" s="228"/>
      <c r="LK160" s="228"/>
      <c r="LL160" s="228"/>
      <c r="LM160" s="228"/>
      <c r="LN160" s="228"/>
      <c r="LO160" s="228"/>
      <c r="LP160" s="228"/>
      <c r="LQ160" s="228"/>
      <c r="LR160" s="228"/>
      <c r="LS160" s="228"/>
      <c r="LT160" s="228"/>
      <c r="LU160" s="228"/>
      <c r="LV160" s="228"/>
      <c r="LW160" s="228"/>
      <c r="LX160" s="228"/>
      <c r="LY160" s="228"/>
      <c r="LZ160" s="228"/>
      <c r="MA160" s="228"/>
      <c r="MB160" s="228"/>
      <c r="MC160" s="228"/>
      <c r="MD160" s="228"/>
      <c r="ME160" s="228"/>
      <c r="MF160" s="228"/>
      <c r="MG160" s="228"/>
      <c r="MH160" s="228"/>
      <c r="MI160" s="228"/>
      <c r="MJ160" s="228"/>
      <c r="MK160" s="228"/>
      <c r="ML160" s="228"/>
      <c r="MM160" s="228"/>
      <c r="MN160" s="228"/>
      <c r="MO160" s="228"/>
      <c r="MP160" s="228"/>
      <c r="MQ160" s="228"/>
      <c r="MR160" s="228"/>
      <c r="MS160" s="228"/>
      <c r="MT160" s="228"/>
      <c r="MU160" s="228"/>
      <c r="MV160" s="228"/>
      <c r="MW160" s="228"/>
      <c r="MX160" s="228"/>
      <c r="MY160" s="228"/>
      <c r="MZ160" s="228"/>
      <c r="NA160" s="228"/>
      <c r="NB160" s="228"/>
      <c r="NC160" s="228"/>
      <c r="ND160" s="228"/>
      <c r="NE160" s="228"/>
      <c r="NF160" s="228"/>
      <c r="NG160" s="228"/>
      <c r="NH160" s="228"/>
      <c r="NI160" s="228"/>
      <c r="NJ160" s="228"/>
      <c r="NK160" s="228"/>
      <c r="NL160" s="228"/>
      <c r="NM160" s="228"/>
      <c r="NN160" s="228"/>
      <c r="NO160" s="228"/>
      <c r="NP160" s="228"/>
      <c r="NQ160" s="228"/>
      <c r="NR160" s="228"/>
      <c r="NS160" s="228"/>
      <c r="NT160" s="228"/>
      <c r="NU160" s="228"/>
      <c r="NV160" s="228"/>
      <c r="NW160" s="228"/>
      <c r="NX160" s="228"/>
      <c r="NY160" s="228"/>
      <c r="NZ160" s="228"/>
      <c r="OA160" s="228"/>
      <c r="OB160" s="228"/>
      <c r="OC160" s="228"/>
      <c r="OD160" s="228"/>
      <c r="OE160" s="228"/>
      <c r="OF160" s="228"/>
      <c r="OG160" s="228"/>
      <c r="OH160" s="228"/>
      <c r="OI160" s="228"/>
      <c r="OJ160" s="228"/>
      <c r="OK160" s="228"/>
      <c r="OL160" s="228"/>
      <c r="OM160" s="228"/>
      <c r="ON160" s="228"/>
      <c r="OO160" s="228"/>
      <c r="OP160" s="228"/>
      <c r="OQ160" s="228"/>
      <c r="OR160" s="228"/>
      <c r="OS160" s="228"/>
      <c r="OT160" s="228"/>
      <c r="OU160" s="228"/>
      <c r="OV160" s="228"/>
      <c r="OW160" s="228"/>
      <c r="OX160" s="228"/>
      <c r="OY160" s="228"/>
      <c r="OZ160" s="228"/>
      <c r="PA160" s="228"/>
      <c r="PB160" s="228"/>
      <c r="PC160" s="228"/>
      <c r="PD160" s="228"/>
      <c r="PE160" s="228"/>
      <c r="PF160" s="228"/>
      <c r="PG160" s="228"/>
      <c r="PH160" s="228"/>
      <c r="PI160" s="228"/>
      <c r="PJ160" s="228"/>
      <c r="PK160" s="228"/>
      <c r="PL160" s="228"/>
      <c r="PM160" s="228"/>
      <c r="PN160" s="228"/>
      <c r="PO160" s="228"/>
      <c r="PP160" s="228"/>
      <c r="PQ160" s="228"/>
      <c r="PR160" s="228"/>
      <c r="PS160" s="228"/>
      <c r="PT160" s="228"/>
      <c r="PU160" s="228"/>
      <c r="PV160" s="228"/>
      <c r="PW160" s="228"/>
      <c r="PX160" s="228"/>
      <c r="PY160" s="228"/>
      <c r="PZ160" s="228"/>
      <c r="QA160" s="228"/>
      <c r="QB160" s="228"/>
      <c r="QC160" s="228"/>
      <c r="QD160" s="228"/>
      <c r="QE160" s="228"/>
      <c r="QF160" s="228"/>
      <c r="QG160" s="228"/>
      <c r="QH160" s="228"/>
      <c r="QI160" s="228"/>
      <c r="QJ160" s="228"/>
      <c r="QK160" s="228"/>
      <c r="QL160" s="228"/>
      <c r="QM160" s="228"/>
      <c r="QN160" s="228"/>
      <c r="QO160" s="228"/>
      <c r="QP160" s="228"/>
      <c r="QQ160" s="228"/>
      <c r="QR160" s="228"/>
      <c r="QS160" s="228"/>
      <c r="QT160" s="228"/>
      <c r="QU160" s="228"/>
      <c r="QV160" s="228"/>
      <c r="QW160" s="228"/>
      <c r="QX160" s="228"/>
      <c r="QY160" s="228"/>
      <c r="QZ160" s="228"/>
      <c r="RA160" s="228"/>
      <c r="RB160" s="228"/>
      <c r="RC160" s="228"/>
      <c r="RD160" s="228"/>
      <c r="RE160" s="228"/>
      <c r="RF160" s="228"/>
      <c r="RG160" s="228"/>
      <c r="RH160" s="228"/>
      <c r="RI160" s="228"/>
      <c r="RJ160" s="228"/>
      <c r="RK160" s="228"/>
      <c r="RL160" s="228"/>
      <c r="RM160" s="228"/>
      <c r="RN160" s="228"/>
      <c r="RO160" s="228"/>
      <c r="RP160" s="228"/>
      <c r="RQ160" s="228"/>
      <c r="RR160" s="228"/>
      <c r="RS160" s="228"/>
      <c r="RT160" s="228"/>
      <c r="RU160" s="228"/>
      <c r="RV160" s="228"/>
      <c r="RW160" s="228"/>
      <c r="RX160" s="228"/>
      <c r="RY160" s="228"/>
      <c r="RZ160" s="228"/>
      <c r="SA160" s="228"/>
      <c r="SB160" s="228"/>
      <c r="SC160" s="228"/>
      <c r="SD160" s="228"/>
      <c r="SE160" s="228"/>
      <c r="SF160" s="228"/>
      <c r="SG160" s="228"/>
      <c r="SH160" s="228"/>
      <c r="SI160" s="228"/>
      <c r="SJ160" s="228"/>
      <c r="SK160" s="228"/>
      <c r="SL160" s="228"/>
      <c r="SM160" s="228"/>
      <c r="SN160" s="228"/>
      <c r="SO160" s="228"/>
      <c r="SP160" s="228"/>
      <c r="SQ160" s="228"/>
      <c r="SR160" s="228"/>
      <c r="SS160" s="228"/>
      <c r="ST160" s="228"/>
      <c r="SU160" s="228"/>
      <c r="SV160" s="228"/>
      <c r="SW160" s="228"/>
      <c r="SX160" s="228"/>
      <c r="SY160" s="228"/>
      <c r="SZ160" s="228"/>
      <c r="TA160" s="228"/>
      <c r="TB160" s="228"/>
      <c r="TC160" s="228"/>
      <c r="TD160" s="228"/>
      <c r="TE160" s="228"/>
      <c r="TF160" s="228"/>
      <c r="TG160" s="228"/>
      <c r="TH160" s="228"/>
      <c r="TI160" s="228"/>
      <c r="TJ160" s="228"/>
      <c r="TK160" s="228"/>
      <c r="TL160" s="228"/>
      <c r="TM160" s="228"/>
      <c r="TN160" s="228"/>
      <c r="TO160" s="228"/>
      <c r="TP160" s="228"/>
      <c r="TQ160" s="228"/>
      <c r="TR160" s="228"/>
      <c r="TS160" s="228"/>
      <c r="TT160" s="228"/>
      <c r="TU160" s="228"/>
    </row>
    <row r="161" spans="1:541" s="268" customFormat="1" outlineLevel="1" x14ac:dyDescent="0.25">
      <c r="A161" s="232">
        <v>26</v>
      </c>
      <c r="B161" s="193" t="s">
        <v>1075</v>
      </c>
      <c r="C161" s="5" t="s">
        <v>1094</v>
      </c>
      <c r="D161" s="5" t="s">
        <v>1013</v>
      </c>
      <c r="E161" s="5" t="s">
        <v>100</v>
      </c>
      <c r="F161" s="213" t="s">
        <v>804</v>
      </c>
      <c r="G161" s="322" t="s">
        <v>792</v>
      </c>
      <c r="H161" s="213" t="s">
        <v>1167</v>
      </c>
      <c r="I161" s="5"/>
      <c r="J161" s="5"/>
      <c r="K161" s="5"/>
      <c r="L161" s="5"/>
      <c r="M161" s="213"/>
      <c r="N161" s="213" t="s">
        <v>1156</v>
      </c>
      <c r="O161" s="213" t="s">
        <v>1157</v>
      </c>
      <c r="P161" s="5" t="s">
        <v>1158</v>
      </c>
      <c r="Q161" s="234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  <c r="AE161" s="228"/>
      <c r="AF161" s="228"/>
      <c r="AG161" s="228"/>
      <c r="AH161" s="228"/>
      <c r="AI161" s="228"/>
      <c r="AJ161" s="228"/>
      <c r="AK161" s="228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 s="228"/>
      <c r="AX161" s="228"/>
      <c r="AY161" s="228"/>
      <c r="AZ161" s="228"/>
      <c r="BA161" s="228"/>
      <c r="BB161" s="228"/>
      <c r="BC161" s="228"/>
      <c r="BD161" s="228"/>
      <c r="BE161" s="228"/>
      <c r="BF161" s="228"/>
      <c r="BG161" s="228"/>
      <c r="BH161" s="228"/>
      <c r="BI161" s="228"/>
      <c r="BJ161" s="228"/>
      <c r="BK161" s="228"/>
      <c r="BL161" s="228"/>
      <c r="BM161" s="228"/>
      <c r="BN161" s="228"/>
      <c r="BO161" s="228"/>
      <c r="BP161" s="228"/>
      <c r="BQ161" s="228"/>
      <c r="BR161" s="228"/>
      <c r="BS161" s="228"/>
      <c r="BT161" s="228"/>
      <c r="BU161" s="228"/>
      <c r="BV161" s="228"/>
      <c r="BW161" s="228"/>
      <c r="BX161" s="228"/>
      <c r="BY161" s="228"/>
      <c r="BZ161" s="228"/>
      <c r="CA161" s="228"/>
      <c r="CB161" s="228"/>
      <c r="CC161" s="228"/>
      <c r="CD161" s="228"/>
      <c r="CE161" s="228"/>
      <c r="CF161" s="228"/>
      <c r="CG161" s="228"/>
      <c r="CH161" s="228"/>
      <c r="CI161" s="228"/>
      <c r="CJ161" s="228"/>
      <c r="CK161" s="228"/>
      <c r="CL161" s="228"/>
      <c r="CM161" s="228"/>
      <c r="CN161" s="228"/>
      <c r="CO161" s="228"/>
      <c r="CP161" s="228"/>
      <c r="CQ161" s="228"/>
      <c r="CR161" s="228"/>
      <c r="CS161" s="228"/>
      <c r="CT161" s="228"/>
      <c r="CU161" s="228"/>
      <c r="CV161" s="228"/>
      <c r="CW161" s="228"/>
      <c r="CX161" s="228"/>
      <c r="CY161" s="228"/>
      <c r="CZ161" s="228"/>
      <c r="DA161" s="228"/>
      <c r="DB161" s="228"/>
      <c r="DC161" s="228"/>
      <c r="DD161" s="228"/>
      <c r="DE161" s="228"/>
      <c r="DF161" s="228"/>
      <c r="DG161" s="228"/>
      <c r="DH161" s="228"/>
      <c r="DI161" s="228"/>
      <c r="DJ161" s="228"/>
      <c r="DK161" s="228"/>
      <c r="DL161" s="228"/>
      <c r="DM161" s="228"/>
      <c r="DN161" s="228"/>
      <c r="DO161" s="228"/>
      <c r="DP161" s="228"/>
      <c r="DQ161" s="228"/>
      <c r="DR161" s="228"/>
      <c r="DS161" s="228"/>
      <c r="DT161" s="228"/>
      <c r="DU161" s="228"/>
      <c r="DV161" s="228"/>
      <c r="DW161" s="228"/>
      <c r="DX161" s="228"/>
      <c r="DY161" s="228"/>
      <c r="DZ161" s="228"/>
      <c r="EA161" s="228"/>
      <c r="EB161" s="228"/>
      <c r="EC161" s="228"/>
      <c r="ED161" s="228"/>
      <c r="EE161" s="228"/>
      <c r="EF161" s="228"/>
      <c r="EG161" s="228"/>
      <c r="EH161" s="228"/>
      <c r="EI161" s="228"/>
      <c r="EJ161" s="228"/>
      <c r="EK161" s="228"/>
      <c r="EL161" s="228"/>
      <c r="EM161" s="228"/>
      <c r="EN161" s="228"/>
      <c r="EO161" s="228"/>
      <c r="EP161" s="228"/>
      <c r="EQ161" s="228"/>
      <c r="ER161" s="228"/>
      <c r="ES161" s="228"/>
      <c r="ET161" s="228"/>
      <c r="EU161" s="228"/>
      <c r="EV161" s="228"/>
      <c r="EW161" s="228"/>
      <c r="EX161" s="228"/>
      <c r="EY161" s="228"/>
      <c r="EZ161" s="228"/>
      <c r="FA161" s="228"/>
      <c r="FB161" s="228"/>
      <c r="FC161" s="228"/>
      <c r="FD161" s="228"/>
      <c r="FE161" s="228"/>
      <c r="FF161" s="228"/>
      <c r="FG161" s="228"/>
      <c r="FH161" s="228"/>
      <c r="FI161" s="228"/>
      <c r="FJ161" s="228"/>
      <c r="FK161" s="228"/>
      <c r="FL161" s="228"/>
      <c r="FM161" s="228"/>
      <c r="FN161" s="228"/>
      <c r="FO161" s="228"/>
      <c r="FP161" s="228"/>
      <c r="FQ161" s="228"/>
      <c r="FR161" s="228"/>
      <c r="FS161" s="228"/>
      <c r="FT161" s="228"/>
      <c r="FU161" s="228"/>
      <c r="FV161" s="228"/>
      <c r="FW161" s="228"/>
      <c r="FX161" s="228"/>
      <c r="FY161" s="228"/>
      <c r="FZ161" s="228"/>
      <c r="GA161" s="228"/>
      <c r="GB161" s="228"/>
      <c r="GC161" s="228"/>
      <c r="GD161" s="228"/>
      <c r="GE161" s="228"/>
      <c r="GF161" s="228"/>
      <c r="GG161" s="228"/>
      <c r="GH161" s="228"/>
      <c r="GI161" s="228"/>
      <c r="GJ161" s="228"/>
      <c r="GK161" s="228"/>
      <c r="GL161" s="228"/>
      <c r="GM161" s="228"/>
      <c r="GN161" s="228"/>
      <c r="GO161" s="228"/>
      <c r="GP161" s="228"/>
      <c r="GQ161" s="228"/>
      <c r="GR161" s="228"/>
      <c r="GS161" s="228"/>
      <c r="GT161" s="228"/>
      <c r="GU161" s="228"/>
      <c r="GV161" s="228"/>
      <c r="GW161" s="228"/>
      <c r="GX161" s="228"/>
      <c r="GY161" s="228"/>
      <c r="GZ161" s="228"/>
      <c r="HA161" s="228"/>
      <c r="HB161" s="228"/>
      <c r="HC161" s="228"/>
      <c r="HD161" s="228"/>
      <c r="HE161" s="228"/>
      <c r="HF161" s="228"/>
      <c r="HG161" s="228"/>
      <c r="HH161" s="228"/>
      <c r="HI161" s="228"/>
      <c r="HJ161" s="228"/>
      <c r="HK161" s="228"/>
      <c r="HL161" s="228"/>
      <c r="HM161" s="228"/>
      <c r="HN161" s="228"/>
      <c r="HO161" s="228"/>
      <c r="HP161" s="228"/>
      <c r="HQ161" s="228"/>
      <c r="HR161" s="228"/>
      <c r="HS161" s="228"/>
      <c r="HT161" s="228"/>
      <c r="HU161" s="228"/>
      <c r="HV161" s="228"/>
      <c r="HW161" s="228"/>
      <c r="HX161" s="228"/>
      <c r="HY161" s="228"/>
      <c r="HZ161" s="228"/>
      <c r="IA161" s="228"/>
      <c r="IB161" s="228"/>
      <c r="IC161" s="228"/>
      <c r="ID161" s="228"/>
      <c r="IE161" s="228"/>
      <c r="IF161" s="228"/>
      <c r="IG161" s="228"/>
      <c r="IH161" s="228"/>
      <c r="II161" s="228"/>
      <c r="IJ161" s="228"/>
      <c r="IK161" s="228"/>
      <c r="IL161" s="228"/>
      <c r="IM161" s="228"/>
      <c r="IN161" s="228"/>
      <c r="IO161" s="228"/>
      <c r="IP161" s="228"/>
      <c r="IQ161" s="228"/>
      <c r="IR161" s="228"/>
      <c r="IS161" s="228"/>
      <c r="IT161" s="228"/>
      <c r="IU161" s="228"/>
      <c r="IV161" s="228"/>
      <c r="IW161" s="228"/>
      <c r="IX161" s="228"/>
      <c r="IY161" s="228"/>
      <c r="IZ161" s="228"/>
      <c r="JA161" s="228"/>
      <c r="JB161" s="228"/>
      <c r="JC161" s="228"/>
      <c r="JD161" s="228"/>
      <c r="JE161" s="228"/>
      <c r="JF161" s="228"/>
      <c r="JG161" s="228"/>
      <c r="JH161" s="228"/>
      <c r="JI161" s="228"/>
      <c r="JJ161" s="228"/>
      <c r="JK161" s="228"/>
      <c r="JL161" s="228"/>
      <c r="JM161" s="228"/>
      <c r="JN161" s="228"/>
      <c r="JO161" s="228"/>
      <c r="JP161" s="228"/>
      <c r="JQ161" s="228"/>
      <c r="JR161" s="228"/>
      <c r="JS161" s="228"/>
      <c r="JT161" s="228"/>
      <c r="JU161" s="228"/>
      <c r="JV161" s="228"/>
      <c r="JW161" s="228"/>
      <c r="JX161" s="228"/>
      <c r="JY161" s="228"/>
      <c r="JZ161" s="228"/>
      <c r="KA161" s="228"/>
      <c r="KB161" s="228"/>
      <c r="KC161" s="228"/>
      <c r="KD161" s="228"/>
      <c r="KE161" s="228"/>
      <c r="KF161" s="228"/>
      <c r="KG161" s="228"/>
      <c r="KH161" s="228"/>
      <c r="KI161" s="228"/>
      <c r="KJ161" s="228"/>
      <c r="KK161" s="228"/>
      <c r="KL161" s="228"/>
      <c r="KM161" s="228"/>
      <c r="KN161" s="228"/>
      <c r="KO161" s="228"/>
      <c r="KP161" s="228"/>
      <c r="KQ161" s="228"/>
      <c r="KR161" s="228"/>
      <c r="KS161" s="228"/>
      <c r="KT161" s="228"/>
      <c r="KU161" s="228"/>
      <c r="KV161" s="228"/>
      <c r="KW161" s="228"/>
      <c r="KX161" s="228"/>
      <c r="KY161" s="228"/>
      <c r="KZ161" s="228"/>
      <c r="LA161" s="228"/>
      <c r="LB161" s="228"/>
      <c r="LC161" s="228"/>
      <c r="LD161" s="228"/>
      <c r="LE161" s="228"/>
      <c r="LF161" s="228"/>
      <c r="LG161" s="228"/>
      <c r="LH161" s="228"/>
      <c r="LI161" s="228"/>
      <c r="LJ161" s="228"/>
      <c r="LK161" s="228"/>
      <c r="LL161" s="228"/>
      <c r="LM161" s="228"/>
      <c r="LN161" s="228"/>
      <c r="LO161" s="228"/>
      <c r="LP161" s="228"/>
      <c r="LQ161" s="228"/>
      <c r="LR161" s="228"/>
      <c r="LS161" s="228"/>
      <c r="LT161" s="228"/>
      <c r="LU161" s="228"/>
      <c r="LV161" s="228"/>
      <c r="LW161" s="228"/>
      <c r="LX161" s="228"/>
      <c r="LY161" s="228"/>
      <c r="LZ161" s="228"/>
      <c r="MA161" s="228"/>
      <c r="MB161" s="228"/>
      <c r="MC161" s="228"/>
      <c r="MD161" s="228"/>
      <c r="ME161" s="228"/>
      <c r="MF161" s="228"/>
      <c r="MG161" s="228"/>
      <c r="MH161" s="228"/>
      <c r="MI161" s="228"/>
      <c r="MJ161" s="228"/>
      <c r="MK161" s="228"/>
      <c r="ML161" s="228"/>
      <c r="MM161" s="228"/>
      <c r="MN161" s="228"/>
      <c r="MO161" s="228"/>
      <c r="MP161" s="228"/>
      <c r="MQ161" s="228"/>
      <c r="MR161" s="228"/>
      <c r="MS161" s="228"/>
      <c r="MT161" s="228"/>
      <c r="MU161" s="228"/>
      <c r="MV161" s="228"/>
      <c r="MW161" s="228"/>
      <c r="MX161" s="228"/>
      <c r="MY161" s="228"/>
      <c r="MZ161" s="228"/>
      <c r="NA161" s="228"/>
      <c r="NB161" s="228"/>
      <c r="NC161" s="228"/>
      <c r="ND161" s="228"/>
      <c r="NE161" s="228"/>
      <c r="NF161" s="228"/>
      <c r="NG161" s="228"/>
      <c r="NH161" s="228"/>
      <c r="NI161" s="228"/>
      <c r="NJ161" s="228"/>
      <c r="NK161" s="228"/>
      <c r="NL161" s="228"/>
      <c r="NM161" s="228"/>
      <c r="NN161" s="228"/>
      <c r="NO161" s="228"/>
      <c r="NP161" s="228"/>
      <c r="NQ161" s="228"/>
      <c r="NR161" s="228"/>
      <c r="NS161" s="228"/>
      <c r="NT161" s="228"/>
      <c r="NU161" s="228"/>
      <c r="NV161" s="228"/>
      <c r="NW161" s="228"/>
      <c r="NX161" s="228"/>
      <c r="NY161" s="228"/>
      <c r="NZ161" s="228"/>
      <c r="OA161" s="228"/>
      <c r="OB161" s="228"/>
      <c r="OC161" s="228"/>
      <c r="OD161" s="228"/>
      <c r="OE161" s="228"/>
      <c r="OF161" s="228"/>
      <c r="OG161" s="228"/>
      <c r="OH161" s="228"/>
      <c r="OI161" s="228"/>
      <c r="OJ161" s="228"/>
      <c r="OK161" s="228"/>
      <c r="OL161" s="228"/>
      <c r="OM161" s="228"/>
      <c r="ON161" s="228"/>
      <c r="OO161" s="228"/>
      <c r="OP161" s="228"/>
      <c r="OQ161" s="228"/>
      <c r="OR161" s="228"/>
      <c r="OS161" s="228"/>
      <c r="OT161" s="228"/>
      <c r="OU161" s="228"/>
      <c r="OV161" s="228"/>
      <c r="OW161" s="228"/>
      <c r="OX161" s="228"/>
      <c r="OY161" s="228"/>
      <c r="OZ161" s="228"/>
      <c r="PA161" s="228"/>
      <c r="PB161" s="228"/>
      <c r="PC161" s="228"/>
      <c r="PD161" s="228"/>
      <c r="PE161" s="228"/>
      <c r="PF161" s="228"/>
      <c r="PG161" s="228"/>
      <c r="PH161" s="228"/>
      <c r="PI161" s="228"/>
      <c r="PJ161" s="228"/>
      <c r="PK161" s="228"/>
      <c r="PL161" s="228"/>
      <c r="PM161" s="228"/>
      <c r="PN161" s="228"/>
      <c r="PO161" s="228"/>
      <c r="PP161" s="228"/>
      <c r="PQ161" s="228"/>
      <c r="PR161" s="228"/>
      <c r="PS161" s="228"/>
      <c r="PT161" s="228"/>
      <c r="PU161" s="228"/>
      <c r="PV161" s="228"/>
      <c r="PW161" s="228"/>
      <c r="PX161" s="228"/>
      <c r="PY161" s="228"/>
      <c r="PZ161" s="228"/>
      <c r="QA161" s="228"/>
      <c r="QB161" s="228"/>
      <c r="QC161" s="228"/>
      <c r="QD161" s="228"/>
      <c r="QE161" s="228"/>
      <c r="QF161" s="228"/>
      <c r="QG161" s="228"/>
      <c r="QH161" s="228"/>
      <c r="QI161" s="228"/>
      <c r="QJ161" s="228"/>
      <c r="QK161" s="228"/>
      <c r="QL161" s="228"/>
      <c r="QM161" s="228"/>
      <c r="QN161" s="228"/>
      <c r="QO161" s="228"/>
      <c r="QP161" s="228"/>
      <c r="QQ161" s="228"/>
      <c r="QR161" s="228"/>
      <c r="QS161" s="228"/>
      <c r="QT161" s="228"/>
      <c r="QU161" s="228"/>
      <c r="QV161" s="228"/>
      <c r="QW161" s="228"/>
      <c r="QX161" s="228"/>
      <c r="QY161" s="228"/>
      <c r="QZ161" s="228"/>
      <c r="RA161" s="228"/>
      <c r="RB161" s="228"/>
      <c r="RC161" s="228"/>
      <c r="RD161" s="228"/>
      <c r="RE161" s="228"/>
      <c r="RF161" s="228"/>
      <c r="RG161" s="228"/>
      <c r="RH161" s="228"/>
      <c r="RI161" s="228"/>
      <c r="RJ161" s="228"/>
      <c r="RK161" s="228"/>
      <c r="RL161" s="228"/>
      <c r="RM161" s="228"/>
      <c r="RN161" s="228"/>
      <c r="RO161" s="228"/>
      <c r="RP161" s="228"/>
      <c r="RQ161" s="228"/>
      <c r="RR161" s="228"/>
      <c r="RS161" s="228"/>
      <c r="RT161" s="228"/>
      <c r="RU161" s="228"/>
      <c r="RV161" s="228"/>
      <c r="RW161" s="228"/>
      <c r="RX161" s="228"/>
      <c r="RY161" s="228"/>
      <c r="RZ161" s="228"/>
      <c r="SA161" s="228"/>
      <c r="SB161" s="228"/>
      <c r="SC161" s="228"/>
      <c r="SD161" s="228"/>
      <c r="SE161" s="228"/>
      <c r="SF161" s="228"/>
      <c r="SG161" s="228"/>
      <c r="SH161" s="228"/>
      <c r="SI161" s="228"/>
      <c r="SJ161" s="228"/>
      <c r="SK161" s="228"/>
      <c r="SL161" s="228"/>
      <c r="SM161" s="228"/>
      <c r="SN161" s="228"/>
      <c r="SO161" s="228"/>
      <c r="SP161" s="228"/>
      <c r="SQ161" s="228"/>
      <c r="SR161" s="228"/>
      <c r="SS161" s="228"/>
      <c r="ST161" s="228"/>
      <c r="SU161" s="228"/>
      <c r="SV161" s="228"/>
      <c r="SW161" s="228"/>
      <c r="SX161" s="228"/>
      <c r="SY161" s="228"/>
      <c r="SZ161" s="228"/>
      <c r="TA161" s="228"/>
      <c r="TB161" s="228"/>
      <c r="TC161" s="228"/>
      <c r="TD161" s="228"/>
      <c r="TE161" s="228"/>
      <c r="TF161" s="228"/>
      <c r="TG161" s="228"/>
      <c r="TH161" s="228"/>
      <c r="TI161" s="228"/>
      <c r="TJ161" s="228"/>
      <c r="TK161" s="228"/>
      <c r="TL161" s="228"/>
      <c r="TM161" s="228"/>
      <c r="TN161" s="228"/>
      <c r="TO161" s="228"/>
      <c r="TP161" s="228"/>
      <c r="TQ161" s="228"/>
      <c r="TR161" s="228"/>
      <c r="TS161" s="228"/>
      <c r="TT161" s="228"/>
      <c r="TU161" s="228"/>
    </row>
    <row r="162" spans="1:541" s="268" customFormat="1" outlineLevel="1" x14ac:dyDescent="0.25">
      <c r="A162" s="232">
        <v>27</v>
      </c>
      <c r="B162" s="193" t="s">
        <v>1075</v>
      </c>
      <c r="C162" s="5" t="s">
        <v>1093</v>
      </c>
      <c r="D162" s="5" t="s">
        <v>1070</v>
      </c>
      <c r="E162" s="5" t="s">
        <v>100</v>
      </c>
      <c r="F162" s="213" t="s">
        <v>804</v>
      </c>
      <c r="G162" s="322" t="s">
        <v>792</v>
      </c>
      <c r="H162" s="213" t="s">
        <v>1167</v>
      </c>
      <c r="I162" s="5"/>
      <c r="J162" s="5"/>
      <c r="K162" s="5"/>
      <c r="L162" s="5"/>
      <c r="M162" s="213"/>
      <c r="N162" s="213" t="s">
        <v>1156</v>
      </c>
      <c r="O162" s="213" t="s">
        <v>1157</v>
      </c>
      <c r="P162" s="5" t="s">
        <v>1158</v>
      </c>
      <c r="Q162" s="234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  <c r="AE162" s="228"/>
      <c r="AF162" s="228"/>
      <c r="AG162" s="228"/>
      <c r="AH162" s="228"/>
      <c r="AI162" s="228"/>
      <c r="AJ162" s="228"/>
      <c r="AK162" s="228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 s="228"/>
      <c r="AX162" s="228"/>
      <c r="AY162" s="228"/>
      <c r="AZ162" s="228"/>
      <c r="BA162" s="228"/>
      <c r="BB162" s="228"/>
      <c r="BC162" s="228"/>
      <c r="BD162" s="228"/>
      <c r="BE162" s="228"/>
      <c r="BF162" s="228"/>
      <c r="BG162" s="228"/>
      <c r="BH162" s="228"/>
      <c r="BI162" s="228"/>
      <c r="BJ162" s="228"/>
      <c r="BK162" s="228"/>
      <c r="BL162" s="228"/>
      <c r="BM162" s="228"/>
      <c r="BN162" s="228"/>
      <c r="BO162" s="228"/>
      <c r="BP162" s="228"/>
      <c r="BQ162" s="228"/>
      <c r="BR162" s="228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D162" s="228"/>
      <c r="CE162" s="228"/>
      <c r="CF162" s="228"/>
      <c r="CG162" s="228"/>
      <c r="CH162" s="228"/>
      <c r="CI162" s="228"/>
      <c r="CJ162" s="228"/>
      <c r="CK162" s="228"/>
      <c r="CL162" s="228"/>
      <c r="CM162" s="228"/>
      <c r="CN162" s="228"/>
      <c r="CO162" s="228"/>
      <c r="CP162" s="228"/>
      <c r="CQ162" s="228"/>
      <c r="CR162" s="228"/>
      <c r="CS162" s="228"/>
      <c r="CT162" s="228"/>
      <c r="CU162" s="228"/>
      <c r="CV162" s="228"/>
      <c r="CW162" s="228"/>
      <c r="CX162" s="228"/>
      <c r="CY162" s="228"/>
      <c r="CZ162" s="228"/>
      <c r="DA162" s="228"/>
      <c r="DB162" s="228"/>
      <c r="DC162" s="228"/>
      <c r="DD162" s="228"/>
      <c r="DE162" s="228"/>
      <c r="DF162" s="228"/>
      <c r="DG162" s="228"/>
      <c r="DH162" s="228"/>
      <c r="DI162" s="228"/>
      <c r="DJ162" s="228"/>
      <c r="DK162" s="228"/>
      <c r="DL162" s="228"/>
      <c r="DM162" s="228"/>
      <c r="DN162" s="228"/>
      <c r="DO162" s="228"/>
      <c r="DP162" s="228"/>
      <c r="DQ162" s="228"/>
      <c r="DR162" s="228"/>
      <c r="DS162" s="228"/>
      <c r="DT162" s="228"/>
      <c r="DU162" s="228"/>
      <c r="DV162" s="228"/>
      <c r="DW162" s="228"/>
      <c r="DX162" s="228"/>
      <c r="DY162" s="228"/>
      <c r="DZ162" s="228"/>
      <c r="EA162" s="228"/>
      <c r="EB162" s="228"/>
      <c r="EC162" s="228"/>
      <c r="ED162" s="228"/>
      <c r="EE162" s="228"/>
      <c r="EF162" s="228"/>
      <c r="EG162" s="228"/>
      <c r="EH162" s="228"/>
      <c r="EI162" s="228"/>
      <c r="EJ162" s="228"/>
      <c r="EK162" s="228"/>
      <c r="EL162" s="228"/>
      <c r="EM162" s="228"/>
      <c r="EN162" s="228"/>
      <c r="EO162" s="228"/>
      <c r="EP162" s="228"/>
      <c r="EQ162" s="228"/>
      <c r="ER162" s="228"/>
      <c r="ES162" s="228"/>
      <c r="ET162" s="228"/>
      <c r="EU162" s="228"/>
      <c r="EV162" s="228"/>
      <c r="EW162" s="228"/>
      <c r="EX162" s="228"/>
      <c r="EY162" s="228"/>
      <c r="EZ162" s="228"/>
      <c r="FA162" s="228"/>
      <c r="FB162" s="228"/>
      <c r="FC162" s="228"/>
      <c r="FD162" s="228"/>
      <c r="FE162" s="228"/>
      <c r="FF162" s="228"/>
      <c r="FG162" s="228"/>
      <c r="FH162" s="228"/>
      <c r="FI162" s="228"/>
      <c r="FJ162" s="228"/>
      <c r="FK162" s="228"/>
      <c r="FL162" s="228"/>
      <c r="FM162" s="228"/>
      <c r="FN162" s="228"/>
      <c r="FO162" s="228"/>
      <c r="FP162" s="228"/>
      <c r="FQ162" s="228"/>
      <c r="FR162" s="228"/>
      <c r="FS162" s="228"/>
      <c r="FT162" s="228"/>
      <c r="FU162" s="228"/>
      <c r="FV162" s="228"/>
      <c r="FW162" s="228"/>
      <c r="FX162" s="228"/>
      <c r="FY162" s="228"/>
      <c r="FZ162" s="228"/>
      <c r="GA162" s="228"/>
      <c r="GB162" s="228"/>
      <c r="GC162" s="228"/>
      <c r="GD162" s="228"/>
      <c r="GE162" s="228"/>
      <c r="GF162" s="228"/>
      <c r="GG162" s="228"/>
      <c r="GH162" s="228"/>
      <c r="GI162" s="228"/>
      <c r="GJ162" s="228"/>
      <c r="GK162" s="228"/>
      <c r="GL162" s="228"/>
      <c r="GM162" s="228"/>
      <c r="GN162" s="228"/>
      <c r="GO162" s="228"/>
      <c r="GP162" s="228"/>
      <c r="GQ162" s="228"/>
      <c r="GR162" s="228"/>
      <c r="GS162" s="228"/>
      <c r="GT162" s="228"/>
      <c r="GU162" s="228"/>
      <c r="GV162" s="228"/>
      <c r="GW162" s="228"/>
      <c r="GX162" s="228"/>
      <c r="GY162" s="228"/>
      <c r="GZ162" s="228"/>
      <c r="HA162" s="228"/>
      <c r="HB162" s="228"/>
      <c r="HC162" s="228"/>
      <c r="HD162" s="228"/>
      <c r="HE162" s="228"/>
      <c r="HF162" s="228"/>
      <c r="HG162" s="228"/>
      <c r="HH162" s="228"/>
      <c r="HI162" s="228"/>
      <c r="HJ162" s="228"/>
      <c r="HK162" s="228"/>
      <c r="HL162" s="228"/>
      <c r="HM162" s="228"/>
      <c r="HN162" s="228"/>
      <c r="HO162" s="228"/>
      <c r="HP162" s="228"/>
      <c r="HQ162" s="228"/>
      <c r="HR162" s="228"/>
      <c r="HS162" s="228"/>
      <c r="HT162" s="228"/>
      <c r="HU162" s="228"/>
      <c r="HV162" s="228"/>
      <c r="HW162" s="228"/>
      <c r="HX162" s="228"/>
      <c r="HY162" s="228"/>
      <c r="HZ162" s="228"/>
      <c r="IA162" s="228"/>
      <c r="IB162" s="228"/>
      <c r="IC162" s="228"/>
      <c r="ID162" s="228"/>
      <c r="IE162" s="228"/>
      <c r="IF162" s="228"/>
      <c r="IG162" s="228"/>
      <c r="IH162" s="228"/>
      <c r="II162" s="228"/>
      <c r="IJ162" s="228"/>
      <c r="IK162" s="228"/>
      <c r="IL162" s="228"/>
      <c r="IM162" s="228"/>
      <c r="IN162" s="228"/>
      <c r="IO162" s="228"/>
      <c r="IP162" s="228"/>
      <c r="IQ162" s="228"/>
      <c r="IR162" s="228"/>
      <c r="IS162" s="228"/>
      <c r="IT162" s="228"/>
      <c r="IU162" s="228"/>
      <c r="IV162" s="228"/>
      <c r="IW162" s="228"/>
      <c r="IX162" s="228"/>
      <c r="IY162" s="228"/>
      <c r="IZ162" s="228"/>
      <c r="JA162" s="228"/>
      <c r="JB162" s="228"/>
      <c r="JC162" s="228"/>
      <c r="JD162" s="228"/>
      <c r="JE162" s="228"/>
      <c r="JF162" s="228"/>
      <c r="JG162" s="228"/>
      <c r="JH162" s="228"/>
      <c r="JI162" s="228"/>
      <c r="JJ162" s="228"/>
      <c r="JK162" s="228"/>
      <c r="JL162" s="228"/>
      <c r="JM162" s="228"/>
      <c r="JN162" s="228"/>
      <c r="JO162" s="228"/>
      <c r="JP162" s="228"/>
      <c r="JQ162" s="228"/>
      <c r="JR162" s="228"/>
      <c r="JS162" s="228"/>
      <c r="JT162" s="228"/>
      <c r="JU162" s="228"/>
      <c r="JV162" s="228"/>
      <c r="JW162" s="228"/>
      <c r="JX162" s="228"/>
      <c r="JY162" s="228"/>
      <c r="JZ162" s="228"/>
      <c r="KA162" s="228"/>
      <c r="KB162" s="228"/>
      <c r="KC162" s="228"/>
      <c r="KD162" s="228"/>
      <c r="KE162" s="228"/>
      <c r="KF162" s="228"/>
      <c r="KG162" s="228"/>
      <c r="KH162" s="228"/>
      <c r="KI162" s="228"/>
      <c r="KJ162" s="228"/>
      <c r="KK162" s="228"/>
      <c r="KL162" s="228"/>
      <c r="KM162" s="228"/>
      <c r="KN162" s="228"/>
      <c r="KO162" s="228"/>
      <c r="KP162" s="228"/>
      <c r="KQ162" s="228"/>
      <c r="KR162" s="228"/>
      <c r="KS162" s="228"/>
      <c r="KT162" s="228"/>
      <c r="KU162" s="228"/>
      <c r="KV162" s="228"/>
      <c r="KW162" s="228"/>
      <c r="KX162" s="228"/>
      <c r="KY162" s="228"/>
      <c r="KZ162" s="228"/>
      <c r="LA162" s="228"/>
      <c r="LB162" s="228"/>
      <c r="LC162" s="228"/>
      <c r="LD162" s="228"/>
      <c r="LE162" s="228"/>
      <c r="LF162" s="228"/>
      <c r="LG162" s="228"/>
      <c r="LH162" s="228"/>
      <c r="LI162" s="228"/>
      <c r="LJ162" s="228"/>
      <c r="LK162" s="228"/>
      <c r="LL162" s="228"/>
      <c r="LM162" s="228"/>
      <c r="LN162" s="228"/>
      <c r="LO162" s="228"/>
      <c r="LP162" s="228"/>
      <c r="LQ162" s="228"/>
      <c r="LR162" s="228"/>
      <c r="LS162" s="228"/>
      <c r="LT162" s="228"/>
      <c r="LU162" s="228"/>
      <c r="LV162" s="228"/>
      <c r="LW162" s="228"/>
      <c r="LX162" s="228"/>
      <c r="LY162" s="228"/>
      <c r="LZ162" s="228"/>
      <c r="MA162" s="228"/>
      <c r="MB162" s="228"/>
      <c r="MC162" s="228"/>
      <c r="MD162" s="228"/>
      <c r="ME162" s="228"/>
      <c r="MF162" s="228"/>
      <c r="MG162" s="228"/>
      <c r="MH162" s="228"/>
      <c r="MI162" s="228"/>
      <c r="MJ162" s="228"/>
      <c r="MK162" s="228"/>
      <c r="ML162" s="228"/>
      <c r="MM162" s="228"/>
      <c r="MN162" s="228"/>
      <c r="MO162" s="228"/>
      <c r="MP162" s="228"/>
      <c r="MQ162" s="228"/>
      <c r="MR162" s="228"/>
      <c r="MS162" s="228"/>
      <c r="MT162" s="228"/>
      <c r="MU162" s="228"/>
      <c r="MV162" s="228"/>
      <c r="MW162" s="228"/>
      <c r="MX162" s="228"/>
      <c r="MY162" s="228"/>
      <c r="MZ162" s="228"/>
      <c r="NA162" s="228"/>
      <c r="NB162" s="228"/>
      <c r="NC162" s="228"/>
      <c r="ND162" s="228"/>
      <c r="NE162" s="228"/>
      <c r="NF162" s="228"/>
      <c r="NG162" s="228"/>
      <c r="NH162" s="228"/>
      <c r="NI162" s="228"/>
      <c r="NJ162" s="228"/>
      <c r="NK162" s="228"/>
      <c r="NL162" s="228"/>
      <c r="NM162" s="228"/>
      <c r="NN162" s="228"/>
      <c r="NO162" s="228"/>
      <c r="NP162" s="228"/>
      <c r="NQ162" s="228"/>
      <c r="NR162" s="228"/>
      <c r="NS162" s="228"/>
      <c r="NT162" s="228"/>
      <c r="NU162" s="228"/>
      <c r="NV162" s="228"/>
      <c r="NW162" s="228"/>
      <c r="NX162" s="228"/>
      <c r="NY162" s="228"/>
      <c r="NZ162" s="228"/>
      <c r="OA162" s="228"/>
      <c r="OB162" s="228"/>
      <c r="OC162" s="228"/>
      <c r="OD162" s="228"/>
      <c r="OE162" s="228"/>
      <c r="OF162" s="228"/>
      <c r="OG162" s="228"/>
      <c r="OH162" s="228"/>
      <c r="OI162" s="228"/>
      <c r="OJ162" s="228"/>
      <c r="OK162" s="228"/>
      <c r="OL162" s="228"/>
      <c r="OM162" s="228"/>
      <c r="ON162" s="228"/>
      <c r="OO162" s="228"/>
      <c r="OP162" s="228"/>
      <c r="OQ162" s="228"/>
      <c r="OR162" s="228"/>
      <c r="OS162" s="228"/>
      <c r="OT162" s="228"/>
      <c r="OU162" s="228"/>
      <c r="OV162" s="228"/>
      <c r="OW162" s="228"/>
      <c r="OX162" s="228"/>
      <c r="OY162" s="228"/>
      <c r="OZ162" s="228"/>
      <c r="PA162" s="228"/>
      <c r="PB162" s="228"/>
      <c r="PC162" s="228"/>
      <c r="PD162" s="228"/>
      <c r="PE162" s="228"/>
      <c r="PF162" s="228"/>
      <c r="PG162" s="228"/>
      <c r="PH162" s="228"/>
      <c r="PI162" s="228"/>
      <c r="PJ162" s="228"/>
      <c r="PK162" s="228"/>
      <c r="PL162" s="228"/>
      <c r="PM162" s="228"/>
      <c r="PN162" s="228"/>
      <c r="PO162" s="228"/>
      <c r="PP162" s="228"/>
      <c r="PQ162" s="228"/>
      <c r="PR162" s="228"/>
      <c r="PS162" s="228"/>
      <c r="PT162" s="228"/>
      <c r="PU162" s="228"/>
      <c r="PV162" s="228"/>
      <c r="PW162" s="228"/>
      <c r="PX162" s="228"/>
      <c r="PY162" s="228"/>
      <c r="PZ162" s="228"/>
      <c r="QA162" s="228"/>
      <c r="QB162" s="228"/>
      <c r="QC162" s="228"/>
      <c r="QD162" s="228"/>
      <c r="QE162" s="228"/>
      <c r="QF162" s="228"/>
      <c r="QG162" s="228"/>
      <c r="QH162" s="228"/>
      <c r="QI162" s="228"/>
      <c r="QJ162" s="228"/>
      <c r="QK162" s="228"/>
      <c r="QL162" s="228"/>
      <c r="QM162" s="228"/>
      <c r="QN162" s="228"/>
      <c r="QO162" s="228"/>
      <c r="QP162" s="228"/>
      <c r="QQ162" s="228"/>
      <c r="QR162" s="228"/>
      <c r="QS162" s="228"/>
      <c r="QT162" s="228"/>
      <c r="QU162" s="228"/>
      <c r="QV162" s="228"/>
      <c r="QW162" s="228"/>
      <c r="QX162" s="228"/>
      <c r="QY162" s="228"/>
      <c r="QZ162" s="228"/>
      <c r="RA162" s="228"/>
      <c r="RB162" s="228"/>
      <c r="RC162" s="228"/>
      <c r="RD162" s="228"/>
      <c r="RE162" s="228"/>
      <c r="RF162" s="228"/>
      <c r="RG162" s="228"/>
      <c r="RH162" s="228"/>
      <c r="RI162" s="228"/>
      <c r="RJ162" s="228"/>
      <c r="RK162" s="228"/>
      <c r="RL162" s="228"/>
      <c r="RM162" s="228"/>
      <c r="RN162" s="228"/>
      <c r="RO162" s="228"/>
      <c r="RP162" s="228"/>
      <c r="RQ162" s="228"/>
      <c r="RR162" s="228"/>
      <c r="RS162" s="228"/>
      <c r="RT162" s="228"/>
      <c r="RU162" s="228"/>
      <c r="RV162" s="228"/>
      <c r="RW162" s="228"/>
      <c r="RX162" s="228"/>
      <c r="RY162" s="228"/>
      <c r="RZ162" s="228"/>
      <c r="SA162" s="228"/>
      <c r="SB162" s="228"/>
      <c r="SC162" s="228"/>
      <c r="SD162" s="228"/>
      <c r="SE162" s="228"/>
      <c r="SF162" s="228"/>
      <c r="SG162" s="228"/>
      <c r="SH162" s="228"/>
      <c r="SI162" s="228"/>
      <c r="SJ162" s="228"/>
      <c r="SK162" s="228"/>
      <c r="SL162" s="228"/>
      <c r="SM162" s="228"/>
      <c r="SN162" s="228"/>
      <c r="SO162" s="228"/>
      <c r="SP162" s="228"/>
      <c r="SQ162" s="228"/>
      <c r="SR162" s="228"/>
      <c r="SS162" s="228"/>
      <c r="ST162" s="228"/>
      <c r="SU162" s="228"/>
      <c r="SV162" s="228"/>
      <c r="SW162" s="228"/>
      <c r="SX162" s="228"/>
      <c r="SY162" s="228"/>
      <c r="SZ162" s="228"/>
      <c r="TA162" s="228"/>
      <c r="TB162" s="228"/>
      <c r="TC162" s="228"/>
      <c r="TD162" s="228"/>
      <c r="TE162" s="228"/>
      <c r="TF162" s="228"/>
      <c r="TG162" s="228"/>
      <c r="TH162" s="228"/>
      <c r="TI162" s="228"/>
      <c r="TJ162" s="228"/>
      <c r="TK162" s="228"/>
      <c r="TL162" s="228"/>
      <c r="TM162" s="228"/>
      <c r="TN162" s="228"/>
      <c r="TO162" s="228"/>
      <c r="TP162" s="228"/>
      <c r="TQ162" s="228"/>
      <c r="TR162" s="228"/>
      <c r="TS162" s="228"/>
      <c r="TT162" s="228"/>
      <c r="TU162" s="228"/>
    </row>
    <row r="163" spans="1:541" s="268" customFormat="1" outlineLevel="1" x14ac:dyDescent="0.25">
      <c r="A163" s="232">
        <v>28</v>
      </c>
      <c r="B163" s="193" t="s">
        <v>1075</v>
      </c>
      <c r="C163" s="5" t="s">
        <v>1092</v>
      </c>
      <c r="D163" s="5" t="s">
        <v>1014</v>
      </c>
      <c r="E163" s="5" t="s">
        <v>100</v>
      </c>
      <c r="F163" s="213" t="s">
        <v>1091</v>
      </c>
      <c r="G163" s="213" t="s">
        <v>792</v>
      </c>
      <c r="H163" s="213" t="s">
        <v>1167</v>
      </c>
      <c r="I163" s="5"/>
      <c r="J163" s="5"/>
      <c r="K163" s="5"/>
      <c r="L163" s="5"/>
      <c r="M163" s="213"/>
      <c r="N163" s="5" t="s">
        <v>1156</v>
      </c>
      <c r="O163" s="5" t="s">
        <v>1157</v>
      </c>
      <c r="P163" s="5" t="s">
        <v>1158</v>
      </c>
      <c r="Q163" s="234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8"/>
      <c r="AK163" s="228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  <c r="BQ163" s="228"/>
      <c r="BR163" s="228"/>
      <c r="BS163" s="228"/>
      <c r="BT163" s="228"/>
      <c r="BU163" s="228"/>
      <c r="BV163" s="228"/>
      <c r="BW163" s="228"/>
      <c r="BX163" s="228"/>
      <c r="BY163" s="228"/>
      <c r="BZ163" s="228"/>
      <c r="CA163" s="228"/>
      <c r="CB163" s="228"/>
      <c r="CC163" s="228"/>
      <c r="CD163" s="228"/>
      <c r="CE163" s="228"/>
      <c r="CF163" s="228"/>
      <c r="CG163" s="228"/>
      <c r="CH163" s="228"/>
      <c r="CI163" s="228"/>
      <c r="CJ163" s="228"/>
      <c r="CK163" s="228"/>
      <c r="CL163" s="228"/>
      <c r="CM163" s="228"/>
      <c r="CN163" s="228"/>
      <c r="CO163" s="228"/>
      <c r="CP163" s="228"/>
      <c r="CQ163" s="228"/>
      <c r="CR163" s="228"/>
      <c r="CS163" s="228"/>
      <c r="CT163" s="228"/>
      <c r="CU163" s="228"/>
      <c r="CV163" s="228"/>
      <c r="CW163" s="228"/>
      <c r="CX163" s="228"/>
      <c r="CY163" s="228"/>
      <c r="CZ163" s="228"/>
      <c r="DA163" s="228"/>
      <c r="DB163" s="228"/>
      <c r="DC163" s="228"/>
      <c r="DD163" s="228"/>
      <c r="DE163" s="228"/>
      <c r="DF163" s="228"/>
      <c r="DG163" s="228"/>
      <c r="DH163" s="228"/>
      <c r="DI163" s="228"/>
      <c r="DJ163" s="228"/>
      <c r="DK163" s="228"/>
      <c r="DL163" s="228"/>
      <c r="DM163" s="228"/>
      <c r="DN163" s="228"/>
      <c r="DO163" s="228"/>
      <c r="DP163" s="228"/>
      <c r="DQ163" s="228"/>
      <c r="DR163" s="228"/>
      <c r="DS163" s="228"/>
      <c r="DT163" s="228"/>
      <c r="DU163" s="228"/>
      <c r="DV163" s="228"/>
      <c r="DW163" s="228"/>
      <c r="DX163" s="228"/>
      <c r="DY163" s="228"/>
      <c r="DZ163" s="228"/>
      <c r="EA163" s="228"/>
      <c r="EB163" s="228"/>
      <c r="EC163" s="228"/>
      <c r="ED163" s="228"/>
      <c r="EE163" s="228"/>
      <c r="EF163" s="228"/>
      <c r="EG163" s="228"/>
      <c r="EH163" s="228"/>
      <c r="EI163" s="228"/>
      <c r="EJ163" s="228"/>
      <c r="EK163" s="228"/>
      <c r="EL163" s="228"/>
      <c r="EM163" s="228"/>
      <c r="EN163" s="228"/>
      <c r="EO163" s="228"/>
      <c r="EP163" s="228"/>
      <c r="EQ163" s="228"/>
      <c r="ER163" s="228"/>
      <c r="ES163" s="228"/>
      <c r="ET163" s="228"/>
      <c r="EU163" s="228"/>
      <c r="EV163" s="228"/>
      <c r="EW163" s="228"/>
      <c r="EX163" s="228"/>
      <c r="EY163" s="228"/>
      <c r="EZ163" s="228"/>
      <c r="FA163" s="228"/>
      <c r="FB163" s="228"/>
      <c r="FC163" s="228"/>
      <c r="FD163" s="228"/>
      <c r="FE163" s="228"/>
      <c r="FF163" s="228"/>
      <c r="FG163" s="228"/>
      <c r="FH163" s="228"/>
      <c r="FI163" s="228"/>
      <c r="FJ163" s="228"/>
      <c r="FK163" s="228"/>
      <c r="FL163" s="228"/>
      <c r="FM163" s="228"/>
      <c r="FN163" s="228"/>
      <c r="FO163" s="228"/>
      <c r="FP163" s="228"/>
      <c r="FQ163" s="228"/>
      <c r="FR163" s="228"/>
      <c r="FS163" s="228"/>
      <c r="FT163" s="228"/>
      <c r="FU163" s="228"/>
      <c r="FV163" s="228"/>
      <c r="FW163" s="228"/>
      <c r="FX163" s="228"/>
      <c r="FY163" s="228"/>
      <c r="FZ163" s="228"/>
      <c r="GA163" s="228"/>
      <c r="GB163" s="228"/>
      <c r="GC163" s="228"/>
      <c r="GD163" s="228"/>
      <c r="GE163" s="228"/>
      <c r="GF163" s="228"/>
      <c r="GG163" s="228"/>
      <c r="GH163" s="228"/>
      <c r="GI163" s="228"/>
      <c r="GJ163" s="228"/>
      <c r="GK163" s="228"/>
      <c r="GL163" s="228"/>
      <c r="GM163" s="228"/>
      <c r="GN163" s="228"/>
      <c r="GO163" s="228"/>
      <c r="GP163" s="228"/>
      <c r="GQ163" s="228"/>
      <c r="GR163" s="228"/>
      <c r="GS163" s="228"/>
      <c r="GT163" s="228"/>
      <c r="GU163" s="228"/>
      <c r="GV163" s="228"/>
      <c r="GW163" s="228"/>
      <c r="GX163" s="228"/>
      <c r="GY163" s="228"/>
      <c r="GZ163" s="228"/>
      <c r="HA163" s="228"/>
      <c r="HB163" s="228"/>
      <c r="HC163" s="228"/>
      <c r="HD163" s="228"/>
      <c r="HE163" s="228"/>
      <c r="HF163" s="228"/>
      <c r="HG163" s="228"/>
      <c r="HH163" s="228"/>
      <c r="HI163" s="228"/>
      <c r="HJ163" s="228"/>
      <c r="HK163" s="228"/>
      <c r="HL163" s="228"/>
      <c r="HM163" s="228"/>
      <c r="HN163" s="228"/>
      <c r="HO163" s="228"/>
      <c r="HP163" s="228"/>
      <c r="HQ163" s="228"/>
      <c r="HR163" s="228"/>
      <c r="HS163" s="228"/>
      <c r="HT163" s="228"/>
      <c r="HU163" s="228"/>
      <c r="HV163" s="228"/>
      <c r="HW163" s="228"/>
      <c r="HX163" s="228"/>
      <c r="HY163" s="228"/>
      <c r="HZ163" s="228"/>
      <c r="IA163" s="228"/>
      <c r="IB163" s="228"/>
      <c r="IC163" s="228"/>
      <c r="ID163" s="228"/>
      <c r="IE163" s="228"/>
      <c r="IF163" s="228"/>
      <c r="IG163" s="228"/>
      <c r="IH163" s="228"/>
      <c r="II163" s="228"/>
      <c r="IJ163" s="228"/>
      <c r="IK163" s="228"/>
      <c r="IL163" s="228"/>
      <c r="IM163" s="228"/>
      <c r="IN163" s="228"/>
      <c r="IO163" s="228"/>
      <c r="IP163" s="228"/>
      <c r="IQ163" s="228"/>
      <c r="IR163" s="228"/>
      <c r="IS163" s="228"/>
      <c r="IT163" s="228"/>
      <c r="IU163" s="228"/>
      <c r="IV163" s="228"/>
      <c r="IW163" s="228"/>
      <c r="IX163" s="228"/>
      <c r="IY163" s="228"/>
      <c r="IZ163" s="228"/>
      <c r="JA163" s="228"/>
      <c r="JB163" s="228"/>
      <c r="JC163" s="228"/>
      <c r="JD163" s="228"/>
      <c r="JE163" s="228"/>
      <c r="JF163" s="228"/>
      <c r="JG163" s="228"/>
      <c r="JH163" s="228"/>
      <c r="JI163" s="228"/>
      <c r="JJ163" s="228"/>
      <c r="JK163" s="228"/>
      <c r="JL163" s="228"/>
      <c r="JM163" s="228"/>
      <c r="JN163" s="228"/>
      <c r="JO163" s="228"/>
      <c r="JP163" s="228"/>
      <c r="JQ163" s="228"/>
      <c r="JR163" s="228"/>
      <c r="JS163" s="228"/>
      <c r="JT163" s="228"/>
      <c r="JU163" s="228"/>
      <c r="JV163" s="228"/>
      <c r="JW163" s="228"/>
      <c r="JX163" s="228"/>
      <c r="JY163" s="228"/>
      <c r="JZ163" s="228"/>
      <c r="KA163" s="228"/>
      <c r="KB163" s="228"/>
      <c r="KC163" s="228"/>
      <c r="KD163" s="228"/>
      <c r="KE163" s="228"/>
      <c r="KF163" s="228"/>
      <c r="KG163" s="228"/>
      <c r="KH163" s="228"/>
      <c r="KI163" s="228"/>
      <c r="KJ163" s="228"/>
      <c r="KK163" s="228"/>
      <c r="KL163" s="228"/>
      <c r="KM163" s="228"/>
      <c r="KN163" s="228"/>
      <c r="KO163" s="228"/>
      <c r="KP163" s="228"/>
      <c r="KQ163" s="228"/>
      <c r="KR163" s="228"/>
      <c r="KS163" s="228"/>
      <c r="KT163" s="228"/>
      <c r="KU163" s="228"/>
      <c r="KV163" s="228"/>
      <c r="KW163" s="228"/>
      <c r="KX163" s="228"/>
      <c r="KY163" s="228"/>
      <c r="KZ163" s="228"/>
      <c r="LA163" s="228"/>
      <c r="LB163" s="228"/>
      <c r="LC163" s="228"/>
      <c r="LD163" s="228"/>
      <c r="LE163" s="228"/>
      <c r="LF163" s="228"/>
      <c r="LG163" s="228"/>
      <c r="LH163" s="228"/>
      <c r="LI163" s="228"/>
      <c r="LJ163" s="228"/>
      <c r="LK163" s="228"/>
      <c r="LL163" s="228"/>
      <c r="LM163" s="228"/>
      <c r="LN163" s="228"/>
      <c r="LO163" s="228"/>
      <c r="LP163" s="228"/>
      <c r="LQ163" s="228"/>
      <c r="LR163" s="228"/>
      <c r="LS163" s="228"/>
      <c r="LT163" s="228"/>
      <c r="LU163" s="228"/>
      <c r="LV163" s="228"/>
      <c r="LW163" s="228"/>
      <c r="LX163" s="228"/>
      <c r="LY163" s="228"/>
      <c r="LZ163" s="228"/>
      <c r="MA163" s="228"/>
      <c r="MB163" s="228"/>
      <c r="MC163" s="228"/>
      <c r="MD163" s="228"/>
      <c r="ME163" s="228"/>
      <c r="MF163" s="228"/>
      <c r="MG163" s="228"/>
      <c r="MH163" s="228"/>
      <c r="MI163" s="228"/>
      <c r="MJ163" s="228"/>
      <c r="MK163" s="228"/>
      <c r="ML163" s="228"/>
      <c r="MM163" s="228"/>
      <c r="MN163" s="228"/>
      <c r="MO163" s="228"/>
      <c r="MP163" s="228"/>
      <c r="MQ163" s="228"/>
      <c r="MR163" s="228"/>
      <c r="MS163" s="228"/>
      <c r="MT163" s="228"/>
      <c r="MU163" s="228"/>
      <c r="MV163" s="228"/>
      <c r="MW163" s="228"/>
      <c r="MX163" s="228"/>
      <c r="MY163" s="228"/>
      <c r="MZ163" s="228"/>
      <c r="NA163" s="228"/>
      <c r="NB163" s="228"/>
      <c r="NC163" s="228"/>
      <c r="ND163" s="228"/>
      <c r="NE163" s="228"/>
      <c r="NF163" s="228"/>
      <c r="NG163" s="228"/>
      <c r="NH163" s="228"/>
      <c r="NI163" s="228"/>
      <c r="NJ163" s="228"/>
      <c r="NK163" s="228"/>
      <c r="NL163" s="228"/>
      <c r="NM163" s="228"/>
      <c r="NN163" s="228"/>
      <c r="NO163" s="228"/>
      <c r="NP163" s="228"/>
      <c r="NQ163" s="228"/>
      <c r="NR163" s="228"/>
      <c r="NS163" s="228"/>
      <c r="NT163" s="228"/>
      <c r="NU163" s="228"/>
      <c r="NV163" s="228"/>
      <c r="NW163" s="228"/>
      <c r="NX163" s="228"/>
      <c r="NY163" s="228"/>
      <c r="NZ163" s="228"/>
      <c r="OA163" s="228"/>
      <c r="OB163" s="228"/>
      <c r="OC163" s="228"/>
      <c r="OD163" s="228"/>
      <c r="OE163" s="228"/>
      <c r="OF163" s="228"/>
      <c r="OG163" s="228"/>
      <c r="OH163" s="228"/>
      <c r="OI163" s="228"/>
      <c r="OJ163" s="228"/>
      <c r="OK163" s="228"/>
      <c r="OL163" s="228"/>
      <c r="OM163" s="228"/>
      <c r="ON163" s="228"/>
      <c r="OO163" s="228"/>
      <c r="OP163" s="228"/>
      <c r="OQ163" s="228"/>
      <c r="OR163" s="228"/>
      <c r="OS163" s="228"/>
      <c r="OT163" s="228"/>
      <c r="OU163" s="228"/>
      <c r="OV163" s="228"/>
      <c r="OW163" s="228"/>
      <c r="OX163" s="228"/>
      <c r="OY163" s="228"/>
      <c r="OZ163" s="228"/>
      <c r="PA163" s="228"/>
      <c r="PB163" s="228"/>
      <c r="PC163" s="228"/>
      <c r="PD163" s="228"/>
      <c r="PE163" s="228"/>
      <c r="PF163" s="228"/>
      <c r="PG163" s="228"/>
      <c r="PH163" s="228"/>
      <c r="PI163" s="228"/>
      <c r="PJ163" s="228"/>
      <c r="PK163" s="228"/>
      <c r="PL163" s="228"/>
      <c r="PM163" s="228"/>
      <c r="PN163" s="228"/>
      <c r="PO163" s="228"/>
      <c r="PP163" s="228"/>
      <c r="PQ163" s="228"/>
      <c r="PR163" s="228"/>
      <c r="PS163" s="228"/>
      <c r="PT163" s="228"/>
      <c r="PU163" s="228"/>
      <c r="PV163" s="228"/>
      <c r="PW163" s="228"/>
      <c r="PX163" s="228"/>
      <c r="PY163" s="228"/>
      <c r="PZ163" s="228"/>
      <c r="QA163" s="228"/>
      <c r="QB163" s="228"/>
      <c r="QC163" s="228"/>
      <c r="QD163" s="228"/>
      <c r="QE163" s="228"/>
      <c r="QF163" s="228"/>
      <c r="QG163" s="228"/>
      <c r="QH163" s="228"/>
      <c r="QI163" s="228"/>
      <c r="QJ163" s="228"/>
      <c r="QK163" s="228"/>
      <c r="QL163" s="228"/>
      <c r="QM163" s="228"/>
      <c r="QN163" s="228"/>
      <c r="QO163" s="228"/>
      <c r="QP163" s="228"/>
      <c r="QQ163" s="228"/>
      <c r="QR163" s="228"/>
      <c r="QS163" s="228"/>
      <c r="QT163" s="228"/>
      <c r="QU163" s="228"/>
      <c r="QV163" s="228"/>
      <c r="QW163" s="228"/>
      <c r="QX163" s="228"/>
      <c r="QY163" s="228"/>
      <c r="QZ163" s="228"/>
      <c r="RA163" s="228"/>
      <c r="RB163" s="228"/>
      <c r="RC163" s="228"/>
      <c r="RD163" s="228"/>
      <c r="RE163" s="228"/>
      <c r="RF163" s="228"/>
      <c r="RG163" s="228"/>
      <c r="RH163" s="228"/>
      <c r="RI163" s="228"/>
      <c r="RJ163" s="228"/>
      <c r="RK163" s="228"/>
      <c r="RL163" s="228"/>
      <c r="RM163" s="228"/>
      <c r="RN163" s="228"/>
      <c r="RO163" s="228"/>
      <c r="RP163" s="228"/>
      <c r="RQ163" s="228"/>
      <c r="RR163" s="228"/>
      <c r="RS163" s="228"/>
      <c r="RT163" s="228"/>
      <c r="RU163" s="228"/>
      <c r="RV163" s="228"/>
      <c r="RW163" s="228"/>
      <c r="RX163" s="228"/>
      <c r="RY163" s="228"/>
      <c r="RZ163" s="228"/>
      <c r="SA163" s="228"/>
      <c r="SB163" s="228"/>
      <c r="SC163" s="228"/>
      <c r="SD163" s="228"/>
      <c r="SE163" s="228"/>
      <c r="SF163" s="228"/>
      <c r="SG163" s="228"/>
      <c r="SH163" s="228"/>
      <c r="SI163" s="228"/>
      <c r="SJ163" s="228"/>
      <c r="SK163" s="228"/>
      <c r="SL163" s="228"/>
      <c r="SM163" s="228"/>
      <c r="SN163" s="228"/>
      <c r="SO163" s="228"/>
      <c r="SP163" s="228"/>
      <c r="SQ163" s="228"/>
      <c r="SR163" s="228"/>
      <c r="SS163" s="228"/>
      <c r="ST163" s="228"/>
      <c r="SU163" s="228"/>
      <c r="SV163" s="228"/>
      <c r="SW163" s="228"/>
      <c r="SX163" s="228"/>
      <c r="SY163" s="228"/>
      <c r="SZ163" s="228"/>
      <c r="TA163" s="228"/>
      <c r="TB163" s="228"/>
      <c r="TC163" s="228"/>
      <c r="TD163" s="228"/>
      <c r="TE163" s="228"/>
      <c r="TF163" s="228"/>
      <c r="TG163" s="228"/>
      <c r="TH163" s="228"/>
      <c r="TI163" s="228"/>
      <c r="TJ163" s="228"/>
      <c r="TK163" s="228"/>
      <c r="TL163" s="228"/>
      <c r="TM163" s="228"/>
      <c r="TN163" s="228"/>
      <c r="TO163" s="228"/>
      <c r="TP163" s="228"/>
      <c r="TQ163" s="228"/>
      <c r="TR163" s="228"/>
      <c r="TS163" s="228"/>
      <c r="TT163" s="228"/>
      <c r="TU163" s="228"/>
    </row>
    <row r="164" spans="1:541" s="268" customFormat="1" outlineLevel="1" x14ac:dyDescent="0.25">
      <c r="A164" s="232">
        <v>29</v>
      </c>
      <c r="B164" s="193" t="s">
        <v>1075</v>
      </c>
      <c r="C164" s="5" t="s">
        <v>1090</v>
      </c>
      <c r="D164" s="5" t="s">
        <v>1061</v>
      </c>
      <c r="E164" s="5" t="s">
        <v>100</v>
      </c>
      <c r="F164" s="213" t="s">
        <v>804</v>
      </c>
      <c r="G164" s="213" t="s">
        <v>792</v>
      </c>
      <c r="H164" s="213" t="s">
        <v>1167</v>
      </c>
      <c r="I164" s="5"/>
      <c r="J164" s="5"/>
      <c r="K164" s="5"/>
      <c r="L164" s="5"/>
      <c r="M164" s="213"/>
      <c r="N164" s="213" t="s">
        <v>1156</v>
      </c>
      <c r="O164" s="213" t="s">
        <v>1157</v>
      </c>
      <c r="P164" s="5" t="s">
        <v>1158</v>
      </c>
      <c r="Q164" s="234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  <c r="AE164" s="228"/>
      <c r="AF164" s="228"/>
      <c r="AG164" s="228"/>
      <c r="AH164" s="228"/>
      <c r="AI164" s="228"/>
      <c r="AJ164" s="228"/>
      <c r="AK164" s="228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 s="228"/>
      <c r="AX164" s="228"/>
      <c r="AY164" s="228"/>
      <c r="AZ164" s="228"/>
      <c r="BA164" s="228"/>
      <c r="BB164" s="228"/>
      <c r="BC164" s="228"/>
      <c r="BD164" s="228"/>
      <c r="BE164" s="228"/>
      <c r="BF164" s="228"/>
      <c r="BG164" s="228"/>
      <c r="BH164" s="228"/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8"/>
      <c r="BS164" s="228"/>
      <c r="BT164" s="228"/>
      <c r="BU164" s="228"/>
      <c r="BV164" s="228"/>
      <c r="BW164" s="228"/>
      <c r="BX164" s="228"/>
      <c r="BY164" s="228"/>
      <c r="BZ164" s="228"/>
      <c r="CA164" s="228"/>
      <c r="CB164" s="228"/>
      <c r="CC164" s="228"/>
      <c r="CD164" s="228"/>
      <c r="CE164" s="228"/>
      <c r="CF164" s="228"/>
      <c r="CG164" s="228"/>
      <c r="CH164" s="228"/>
      <c r="CI164" s="228"/>
      <c r="CJ164" s="228"/>
      <c r="CK164" s="228"/>
      <c r="CL164" s="228"/>
      <c r="CM164" s="228"/>
      <c r="CN164" s="228"/>
      <c r="CO164" s="228"/>
      <c r="CP164" s="228"/>
      <c r="CQ164" s="228"/>
      <c r="CR164" s="228"/>
      <c r="CS164" s="228"/>
      <c r="CT164" s="228"/>
      <c r="CU164" s="228"/>
      <c r="CV164" s="228"/>
      <c r="CW164" s="228"/>
      <c r="CX164" s="228"/>
      <c r="CY164" s="228"/>
      <c r="CZ164" s="228"/>
      <c r="DA164" s="228"/>
      <c r="DB164" s="228"/>
      <c r="DC164" s="228"/>
      <c r="DD164" s="228"/>
      <c r="DE164" s="228"/>
      <c r="DF164" s="228"/>
      <c r="DG164" s="228"/>
      <c r="DH164" s="228"/>
      <c r="DI164" s="228"/>
      <c r="DJ164" s="228"/>
      <c r="DK164" s="228"/>
      <c r="DL164" s="228"/>
      <c r="DM164" s="228"/>
      <c r="DN164" s="228"/>
      <c r="DO164" s="228"/>
      <c r="DP164" s="228"/>
      <c r="DQ164" s="228"/>
      <c r="DR164" s="228"/>
      <c r="DS164" s="228"/>
      <c r="DT164" s="228"/>
      <c r="DU164" s="228"/>
      <c r="DV164" s="228"/>
      <c r="DW164" s="228"/>
      <c r="DX164" s="228"/>
      <c r="DY164" s="228"/>
      <c r="DZ164" s="228"/>
      <c r="EA164" s="228"/>
      <c r="EB164" s="228"/>
      <c r="EC164" s="228"/>
      <c r="ED164" s="228"/>
      <c r="EE164" s="228"/>
      <c r="EF164" s="228"/>
      <c r="EG164" s="228"/>
      <c r="EH164" s="228"/>
      <c r="EI164" s="228"/>
      <c r="EJ164" s="228"/>
      <c r="EK164" s="228"/>
      <c r="EL164" s="228"/>
      <c r="EM164" s="228"/>
      <c r="EN164" s="228"/>
      <c r="EO164" s="228"/>
      <c r="EP164" s="228"/>
      <c r="EQ164" s="228"/>
      <c r="ER164" s="228"/>
      <c r="ES164" s="228"/>
      <c r="ET164" s="228"/>
      <c r="EU164" s="228"/>
      <c r="EV164" s="228"/>
      <c r="EW164" s="228"/>
      <c r="EX164" s="228"/>
      <c r="EY164" s="228"/>
      <c r="EZ164" s="228"/>
      <c r="FA164" s="228"/>
      <c r="FB164" s="228"/>
      <c r="FC164" s="228"/>
      <c r="FD164" s="228"/>
      <c r="FE164" s="228"/>
      <c r="FF164" s="228"/>
      <c r="FG164" s="228"/>
      <c r="FH164" s="228"/>
      <c r="FI164" s="228"/>
      <c r="FJ164" s="228"/>
      <c r="FK164" s="228"/>
      <c r="FL164" s="228"/>
      <c r="FM164" s="228"/>
      <c r="FN164" s="228"/>
      <c r="FO164" s="228"/>
      <c r="FP164" s="228"/>
      <c r="FQ164" s="228"/>
      <c r="FR164" s="228"/>
      <c r="FS164" s="228"/>
      <c r="FT164" s="228"/>
      <c r="FU164" s="228"/>
      <c r="FV164" s="228"/>
      <c r="FW164" s="228"/>
      <c r="FX164" s="228"/>
      <c r="FY164" s="228"/>
      <c r="FZ164" s="228"/>
      <c r="GA164" s="228"/>
      <c r="GB164" s="228"/>
      <c r="GC164" s="228"/>
      <c r="GD164" s="228"/>
      <c r="GE164" s="228"/>
      <c r="GF164" s="228"/>
      <c r="GG164" s="228"/>
      <c r="GH164" s="228"/>
      <c r="GI164" s="228"/>
      <c r="GJ164" s="228"/>
      <c r="GK164" s="228"/>
      <c r="GL164" s="228"/>
      <c r="GM164" s="228"/>
      <c r="GN164" s="228"/>
      <c r="GO164" s="228"/>
      <c r="GP164" s="228"/>
      <c r="GQ164" s="228"/>
      <c r="GR164" s="228"/>
      <c r="GS164" s="228"/>
      <c r="GT164" s="228"/>
      <c r="GU164" s="228"/>
      <c r="GV164" s="228"/>
      <c r="GW164" s="228"/>
      <c r="GX164" s="228"/>
      <c r="GY164" s="228"/>
      <c r="GZ164" s="228"/>
      <c r="HA164" s="228"/>
      <c r="HB164" s="228"/>
      <c r="HC164" s="228"/>
      <c r="HD164" s="228"/>
      <c r="HE164" s="228"/>
      <c r="HF164" s="228"/>
      <c r="HG164" s="228"/>
      <c r="HH164" s="228"/>
      <c r="HI164" s="228"/>
      <c r="HJ164" s="228"/>
      <c r="HK164" s="228"/>
      <c r="HL164" s="228"/>
      <c r="HM164" s="228"/>
      <c r="HN164" s="228"/>
      <c r="HO164" s="228"/>
      <c r="HP164" s="228"/>
      <c r="HQ164" s="228"/>
      <c r="HR164" s="228"/>
      <c r="HS164" s="228"/>
      <c r="HT164" s="228"/>
      <c r="HU164" s="228"/>
      <c r="HV164" s="228"/>
      <c r="HW164" s="228"/>
      <c r="HX164" s="228"/>
      <c r="HY164" s="228"/>
      <c r="HZ164" s="228"/>
      <c r="IA164" s="228"/>
      <c r="IB164" s="228"/>
      <c r="IC164" s="228"/>
      <c r="ID164" s="228"/>
      <c r="IE164" s="228"/>
      <c r="IF164" s="228"/>
      <c r="IG164" s="228"/>
      <c r="IH164" s="228"/>
      <c r="II164" s="228"/>
      <c r="IJ164" s="228"/>
      <c r="IK164" s="228"/>
      <c r="IL164" s="228"/>
      <c r="IM164" s="228"/>
      <c r="IN164" s="228"/>
      <c r="IO164" s="228"/>
      <c r="IP164" s="228"/>
      <c r="IQ164" s="228"/>
      <c r="IR164" s="228"/>
      <c r="IS164" s="228"/>
      <c r="IT164" s="228"/>
      <c r="IU164" s="228"/>
      <c r="IV164" s="228"/>
      <c r="IW164" s="228"/>
      <c r="IX164" s="228"/>
      <c r="IY164" s="228"/>
      <c r="IZ164" s="228"/>
      <c r="JA164" s="228"/>
      <c r="JB164" s="228"/>
      <c r="JC164" s="228"/>
      <c r="JD164" s="228"/>
      <c r="JE164" s="228"/>
      <c r="JF164" s="228"/>
      <c r="JG164" s="228"/>
      <c r="JH164" s="228"/>
      <c r="JI164" s="228"/>
      <c r="JJ164" s="228"/>
      <c r="JK164" s="228"/>
      <c r="JL164" s="228"/>
      <c r="JM164" s="228"/>
      <c r="JN164" s="228"/>
      <c r="JO164" s="228"/>
      <c r="JP164" s="228"/>
      <c r="JQ164" s="228"/>
      <c r="JR164" s="228"/>
      <c r="JS164" s="228"/>
      <c r="JT164" s="228"/>
      <c r="JU164" s="228"/>
      <c r="JV164" s="228"/>
      <c r="JW164" s="228"/>
      <c r="JX164" s="228"/>
      <c r="JY164" s="228"/>
      <c r="JZ164" s="228"/>
      <c r="KA164" s="228"/>
      <c r="KB164" s="228"/>
      <c r="KC164" s="228"/>
      <c r="KD164" s="228"/>
      <c r="KE164" s="228"/>
      <c r="KF164" s="228"/>
      <c r="KG164" s="228"/>
      <c r="KH164" s="228"/>
      <c r="KI164" s="228"/>
      <c r="KJ164" s="228"/>
      <c r="KK164" s="228"/>
      <c r="KL164" s="228"/>
      <c r="KM164" s="228"/>
      <c r="KN164" s="228"/>
      <c r="KO164" s="228"/>
      <c r="KP164" s="228"/>
      <c r="KQ164" s="228"/>
      <c r="KR164" s="228"/>
      <c r="KS164" s="228"/>
      <c r="KT164" s="228"/>
      <c r="KU164" s="228"/>
      <c r="KV164" s="228"/>
      <c r="KW164" s="228"/>
      <c r="KX164" s="228"/>
      <c r="KY164" s="228"/>
      <c r="KZ164" s="228"/>
      <c r="LA164" s="228"/>
      <c r="LB164" s="228"/>
      <c r="LC164" s="228"/>
      <c r="LD164" s="228"/>
      <c r="LE164" s="228"/>
      <c r="LF164" s="228"/>
      <c r="LG164" s="228"/>
      <c r="LH164" s="228"/>
      <c r="LI164" s="228"/>
      <c r="LJ164" s="228"/>
      <c r="LK164" s="228"/>
      <c r="LL164" s="228"/>
      <c r="LM164" s="228"/>
      <c r="LN164" s="228"/>
      <c r="LO164" s="228"/>
      <c r="LP164" s="228"/>
      <c r="LQ164" s="228"/>
      <c r="LR164" s="228"/>
      <c r="LS164" s="228"/>
      <c r="LT164" s="228"/>
      <c r="LU164" s="228"/>
      <c r="LV164" s="228"/>
      <c r="LW164" s="228"/>
      <c r="LX164" s="228"/>
      <c r="LY164" s="228"/>
      <c r="LZ164" s="228"/>
      <c r="MA164" s="228"/>
      <c r="MB164" s="228"/>
      <c r="MC164" s="228"/>
      <c r="MD164" s="228"/>
      <c r="ME164" s="228"/>
      <c r="MF164" s="228"/>
      <c r="MG164" s="228"/>
      <c r="MH164" s="228"/>
      <c r="MI164" s="228"/>
      <c r="MJ164" s="228"/>
      <c r="MK164" s="228"/>
      <c r="ML164" s="228"/>
      <c r="MM164" s="228"/>
      <c r="MN164" s="228"/>
      <c r="MO164" s="228"/>
      <c r="MP164" s="228"/>
      <c r="MQ164" s="228"/>
      <c r="MR164" s="228"/>
      <c r="MS164" s="228"/>
      <c r="MT164" s="228"/>
      <c r="MU164" s="228"/>
      <c r="MV164" s="228"/>
      <c r="MW164" s="228"/>
      <c r="MX164" s="228"/>
      <c r="MY164" s="228"/>
      <c r="MZ164" s="228"/>
      <c r="NA164" s="228"/>
      <c r="NB164" s="228"/>
      <c r="NC164" s="228"/>
      <c r="ND164" s="228"/>
      <c r="NE164" s="228"/>
      <c r="NF164" s="228"/>
      <c r="NG164" s="228"/>
      <c r="NH164" s="228"/>
      <c r="NI164" s="228"/>
      <c r="NJ164" s="228"/>
      <c r="NK164" s="228"/>
      <c r="NL164" s="228"/>
      <c r="NM164" s="228"/>
      <c r="NN164" s="228"/>
      <c r="NO164" s="228"/>
      <c r="NP164" s="228"/>
      <c r="NQ164" s="228"/>
      <c r="NR164" s="228"/>
      <c r="NS164" s="228"/>
      <c r="NT164" s="228"/>
      <c r="NU164" s="228"/>
      <c r="NV164" s="228"/>
      <c r="NW164" s="228"/>
      <c r="NX164" s="228"/>
      <c r="NY164" s="228"/>
      <c r="NZ164" s="228"/>
      <c r="OA164" s="228"/>
      <c r="OB164" s="228"/>
      <c r="OC164" s="228"/>
      <c r="OD164" s="228"/>
      <c r="OE164" s="228"/>
      <c r="OF164" s="228"/>
      <c r="OG164" s="228"/>
      <c r="OH164" s="228"/>
      <c r="OI164" s="228"/>
      <c r="OJ164" s="228"/>
      <c r="OK164" s="228"/>
      <c r="OL164" s="228"/>
      <c r="OM164" s="228"/>
      <c r="ON164" s="228"/>
      <c r="OO164" s="228"/>
      <c r="OP164" s="228"/>
      <c r="OQ164" s="228"/>
      <c r="OR164" s="228"/>
      <c r="OS164" s="228"/>
      <c r="OT164" s="228"/>
      <c r="OU164" s="228"/>
      <c r="OV164" s="228"/>
      <c r="OW164" s="228"/>
      <c r="OX164" s="228"/>
      <c r="OY164" s="228"/>
      <c r="OZ164" s="228"/>
      <c r="PA164" s="228"/>
      <c r="PB164" s="228"/>
      <c r="PC164" s="228"/>
      <c r="PD164" s="228"/>
      <c r="PE164" s="228"/>
      <c r="PF164" s="228"/>
      <c r="PG164" s="228"/>
      <c r="PH164" s="228"/>
      <c r="PI164" s="228"/>
      <c r="PJ164" s="228"/>
      <c r="PK164" s="228"/>
      <c r="PL164" s="228"/>
      <c r="PM164" s="228"/>
      <c r="PN164" s="228"/>
      <c r="PO164" s="228"/>
      <c r="PP164" s="228"/>
      <c r="PQ164" s="228"/>
      <c r="PR164" s="228"/>
      <c r="PS164" s="228"/>
      <c r="PT164" s="228"/>
      <c r="PU164" s="228"/>
      <c r="PV164" s="228"/>
      <c r="PW164" s="228"/>
      <c r="PX164" s="228"/>
      <c r="PY164" s="228"/>
      <c r="PZ164" s="228"/>
      <c r="QA164" s="228"/>
      <c r="QB164" s="228"/>
      <c r="QC164" s="228"/>
      <c r="QD164" s="228"/>
      <c r="QE164" s="228"/>
      <c r="QF164" s="228"/>
      <c r="QG164" s="228"/>
      <c r="QH164" s="228"/>
      <c r="QI164" s="228"/>
      <c r="QJ164" s="228"/>
      <c r="QK164" s="228"/>
      <c r="QL164" s="228"/>
      <c r="QM164" s="228"/>
      <c r="QN164" s="228"/>
      <c r="QO164" s="228"/>
      <c r="QP164" s="228"/>
      <c r="QQ164" s="228"/>
      <c r="QR164" s="228"/>
      <c r="QS164" s="228"/>
      <c r="QT164" s="228"/>
      <c r="QU164" s="228"/>
      <c r="QV164" s="228"/>
      <c r="QW164" s="228"/>
      <c r="QX164" s="228"/>
      <c r="QY164" s="228"/>
      <c r="QZ164" s="228"/>
      <c r="RA164" s="228"/>
      <c r="RB164" s="228"/>
      <c r="RC164" s="228"/>
      <c r="RD164" s="228"/>
      <c r="RE164" s="228"/>
      <c r="RF164" s="228"/>
      <c r="RG164" s="228"/>
      <c r="RH164" s="228"/>
      <c r="RI164" s="228"/>
      <c r="RJ164" s="228"/>
      <c r="RK164" s="228"/>
      <c r="RL164" s="228"/>
      <c r="RM164" s="228"/>
      <c r="RN164" s="228"/>
      <c r="RO164" s="228"/>
      <c r="RP164" s="228"/>
      <c r="RQ164" s="228"/>
      <c r="RR164" s="228"/>
      <c r="RS164" s="228"/>
      <c r="RT164" s="228"/>
      <c r="RU164" s="228"/>
      <c r="RV164" s="228"/>
      <c r="RW164" s="228"/>
      <c r="RX164" s="228"/>
      <c r="RY164" s="228"/>
      <c r="RZ164" s="228"/>
      <c r="SA164" s="228"/>
      <c r="SB164" s="228"/>
      <c r="SC164" s="228"/>
      <c r="SD164" s="228"/>
      <c r="SE164" s="228"/>
      <c r="SF164" s="228"/>
      <c r="SG164" s="228"/>
      <c r="SH164" s="228"/>
      <c r="SI164" s="228"/>
      <c r="SJ164" s="228"/>
      <c r="SK164" s="228"/>
      <c r="SL164" s="228"/>
      <c r="SM164" s="228"/>
      <c r="SN164" s="228"/>
      <c r="SO164" s="228"/>
      <c r="SP164" s="228"/>
      <c r="SQ164" s="228"/>
      <c r="SR164" s="228"/>
      <c r="SS164" s="228"/>
      <c r="ST164" s="228"/>
      <c r="SU164" s="228"/>
      <c r="SV164" s="228"/>
      <c r="SW164" s="228"/>
      <c r="SX164" s="228"/>
      <c r="SY164" s="228"/>
      <c r="SZ164" s="228"/>
      <c r="TA164" s="228"/>
      <c r="TB164" s="228"/>
      <c r="TC164" s="228"/>
      <c r="TD164" s="228"/>
      <c r="TE164" s="228"/>
      <c r="TF164" s="228"/>
      <c r="TG164" s="228"/>
      <c r="TH164" s="228"/>
      <c r="TI164" s="228"/>
      <c r="TJ164" s="228"/>
      <c r="TK164" s="228"/>
      <c r="TL164" s="228"/>
      <c r="TM164" s="228"/>
      <c r="TN164" s="228"/>
      <c r="TO164" s="228"/>
      <c r="TP164" s="228"/>
      <c r="TQ164" s="228"/>
      <c r="TR164" s="228"/>
      <c r="TS164" s="228"/>
      <c r="TT164" s="228"/>
      <c r="TU164" s="228"/>
    </row>
    <row r="165" spans="1:541" s="268" customFormat="1" outlineLevel="1" x14ac:dyDescent="0.25">
      <c r="A165" s="232">
        <v>30</v>
      </c>
      <c r="B165" s="193" t="s">
        <v>1075</v>
      </c>
      <c r="C165" s="5"/>
      <c r="D165" s="5" t="s">
        <v>1015</v>
      </c>
      <c r="E165" s="5" t="s">
        <v>100</v>
      </c>
      <c r="F165" s="213" t="s">
        <v>0</v>
      </c>
      <c r="G165" s="322" t="s">
        <v>1166</v>
      </c>
      <c r="H165" s="213" t="s">
        <v>1167</v>
      </c>
      <c r="I165" s="5"/>
      <c r="J165" s="5"/>
      <c r="K165" s="5"/>
      <c r="L165" s="5"/>
      <c r="M165" s="213"/>
      <c r="N165" s="5" t="s">
        <v>1159</v>
      </c>
      <c r="O165" s="5" t="s">
        <v>1160</v>
      </c>
      <c r="P165" s="5" t="s">
        <v>1156</v>
      </c>
      <c r="Q165" s="234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  <c r="AE165" s="228"/>
      <c r="AF165" s="228"/>
      <c r="AG165" s="228"/>
      <c r="AH165" s="228"/>
      <c r="AI165" s="228"/>
      <c r="AJ165" s="228"/>
      <c r="AK165" s="228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 s="228"/>
      <c r="AX165" s="228"/>
      <c r="AY165" s="228"/>
      <c r="AZ165" s="228"/>
      <c r="BA165" s="228"/>
      <c r="BB165" s="228"/>
      <c r="BC165" s="228"/>
      <c r="BD165" s="228"/>
      <c r="BE165" s="228"/>
      <c r="BF165" s="228"/>
      <c r="BG165" s="228"/>
      <c r="BH165" s="228"/>
      <c r="BI165" s="228"/>
      <c r="BJ165" s="228"/>
      <c r="BK165" s="228"/>
      <c r="BL165" s="228"/>
      <c r="BM165" s="228"/>
      <c r="BN165" s="228"/>
      <c r="BO165" s="228"/>
      <c r="BP165" s="228"/>
      <c r="BQ165" s="228"/>
      <c r="BR165" s="228"/>
      <c r="BS165" s="228"/>
      <c r="BT165" s="228"/>
      <c r="BU165" s="228"/>
      <c r="BV165" s="228"/>
      <c r="BW165" s="228"/>
      <c r="BX165" s="228"/>
      <c r="BY165" s="228"/>
      <c r="BZ165" s="228"/>
      <c r="CA165" s="228"/>
      <c r="CB165" s="228"/>
      <c r="CC165" s="228"/>
      <c r="CD165" s="228"/>
      <c r="CE165" s="228"/>
      <c r="CF165" s="228"/>
      <c r="CG165" s="228"/>
      <c r="CH165" s="228"/>
      <c r="CI165" s="228"/>
      <c r="CJ165" s="228"/>
      <c r="CK165" s="228"/>
      <c r="CL165" s="228"/>
      <c r="CM165" s="228"/>
      <c r="CN165" s="228"/>
      <c r="CO165" s="228"/>
      <c r="CP165" s="228"/>
      <c r="CQ165" s="228"/>
      <c r="CR165" s="228"/>
      <c r="CS165" s="228"/>
      <c r="CT165" s="228"/>
      <c r="CU165" s="228"/>
      <c r="CV165" s="228"/>
      <c r="CW165" s="228"/>
      <c r="CX165" s="228"/>
      <c r="CY165" s="228"/>
      <c r="CZ165" s="228"/>
      <c r="DA165" s="228"/>
      <c r="DB165" s="228"/>
      <c r="DC165" s="228"/>
      <c r="DD165" s="228"/>
      <c r="DE165" s="228"/>
      <c r="DF165" s="228"/>
      <c r="DG165" s="228"/>
      <c r="DH165" s="228"/>
      <c r="DI165" s="228"/>
      <c r="DJ165" s="228"/>
      <c r="DK165" s="228"/>
      <c r="DL165" s="228"/>
      <c r="DM165" s="228"/>
      <c r="DN165" s="228"/>
      <c r="DO165" s="228"/>
      <c r="DP165" s="228"/>
      <c r="DQ165" s="228"/>
      <c r="DR165" s="228"/>
      <c r="DS165" s="228"/>
      <c r="DT165" s="228"/>
      <c r="DU165" s="228"/>
      <c r="DV165" s="228"/>
      <c r="DW165" s="228"/>
      <c r="DX165" s="228"/>
      <c r="DY165" s="228"/>
      <c r="DZ165" s="228"/>
      <c r="EA165" s="228"/>
      <c r="EB165" s="228"/>
      <c r="EC165" s="228"/>
      <c r="ED165" s="228"/>
      <c r="EE165" s="228"/>
      <c r="EF165" s="228"/>
      <c r="EG165" s="228"/>
      <c r="EH165" s="228"/>
      <c r="EI165" s="228"/>
      <c r="EJ165" s="228"/>
      <c r="EK165" s="228"/>
      <c r="EL165" s="228"/>
      <c r="EM165" s="228"/>
      <c r="EN165" s="228"/>
      <c r="EO165" s="228"/>
      <c r="EP165" s="228"/>
      <c r="EQ165" s="228"/>
      <c r="ER165" s="228"/>
      <c r="ES165" s="228"/>
      <c r="ET165" s="228"/>
      <c r="EU165" s="228"/>
      <c r="EV165" s="228"/>
      <c r="EW165" s="228"/>
      <c r="EX165" s="228"/>
      <c r="EY165" s="228"/>
      <c r="EZ165" s="228"/>
      <c r="FA165" s="228"/>
      <c r="FB165" s="228"/>
      <c r="FC165" s="228"/>
      <c r="FD165" s="228"/>
      <c r="FE165" s="228"/>
      <c r="FF165" s="228"/>
      <c r="FG165" s="228"/>
      <c r="FH165" s="228"/>
      <c r="FI165" s="228"/>
      <c r="FJ165" s="228"/>
      <c r="FK165" s="228"/>
      <c r="FL165" s="228"/>
      <c r="FM165" s="228"/>
      <c r="FN165" s="228"/>
      <c r="FO165" s="228"/>
      <c r="FP165" s="228"/>
      <c r="FQ165" s="228"/>
      <c r="FR165" s="228"/>
      <c r="FS165" s="228"/>
      <c r="FT165" s="228"/>
      <c r="FU165" s="228"/>
      <c r="FV165" s="228"/>
      <c r="FW165" s="228"/>
      <c r="FX165" s="228"/>
      <c r="FY165" s="228"/>
      <c r="FZ165" s="228"/>
      <c r="GA165" s="228"/>
      <c r="GB165" s="228"/>
      <c r="GC165" s="228"/>
      <c r="GD165" s="228"/>
      <c r="GE165" s="228"/>
      <c r="GF165" s="228"/>
      <c r="GG165" s="228"/>
      <c r="GH165" s="228"/>
      <c r="GI165" s="228"/>
      <c r="GJ165" s="228"/>
      <c r="GK165" s="228"/>
      <c r="GL165" s="228"/>
      <c r="GM165" s="228"/>
      <c r="GN165" s="228"/>
      <c r="GO165" s="228"/>
      <c r="GP165" s="228"/>
      <c r="GQ165" s="228"/>
      <c r="GR165" s="228"/>
      <c r="GS165" s="228"/>
      <c r="GT165" s="228"/>
      <c r="GU165" s="228"/>
      <c r="GV165" s="228"/>
      <c r="GW165" s="228"/>
      <c r="GX165" s="228"/>
      <c r="GY165" s="228"/>
      <c r="GZ165" s="228"/>
      <c r="HA165" s="228"/>
      <c r="HB165" s="228"/>
      <c r="HC165" s="228"/>
      <c r="HD165" s="228"/>
      <c r="HE165" s="228"/>
      <c r="HF165" s="228"/>
      <c r="HG165" s="228"/>
      <c r="HH165" s="228"/>
      <c r="HI165" s="228"/>
      <c r="HJ165" s="228"/>
      <c r="HK165" s="228"/>
      <c r="HL165" s="228"/>
      <c r="HM165" s="228"/>
      <c r="HN165" s="228"/>
      <c r="HO165" s="228"/>
      <c r="HP165" s="228"/>
      <c r="HQ165" s="228"/>
      <c r="HR165" s="228"/>
      <c r="HS165" s="228"/>
      <c r="HT165" s="228"/>
      <c r="HU165" s="228"/>
      <c r="HV165" s="228"/>
      <c r="HW165" s="228"/>
      <c r="HX165" s="228"/>
      <c r="HY165" s="228"/>
      <c r="HZ165" s="228"/>
      <c r="IA165" s="228"/>
      <c r="IB165" s="228"/>
      <c r="IC165" s="228"/>
      <c r="ID165" s="228"/>
      <c r="IE165" s="228"/>
      <c r="IF165" s="228"/>
      <c r="IG165" s="228"/>
      <c r="IH165" s="228"/>
      <c r="II165" s="228"/>
      <c r="IJ165" s="228"/>
      <c r="IK165" s="228"/>
      <c r="IL165" s="228"/>
      <c r="IM165" s="228"/>
      <c r="IN165" s="228"/>
      <c r="IO165" s="228"/>
      <c r="IP165" s="228"/>
      <c r="IQ165" s="228"/>
      <c r="IR165" s="228"/>
      <c r="IS165" s="228"/>
      <c r="IT165" s="228"/>
      <c r="IU165" s="228"/>
      <c r="IV165" s="228"/>
      <c r="IW165" s="228"/>
      <c r="IX165" s="228"/>
      <c r="IY165" s="228"/>
      <c r="IZ165" s="228"/>
      <c r="JA165" s="228"/>
      <c r="JB165" s="228"/>
      <c r="JC165" s="228"/>
      <c r="JD165" s="228"/>
      <c r="JE165" s="228"/>
      <c r="JF165" s="228"/>
      <c r="JG165" s="228"/>
      <c r="JH165" s="228"/>
      <c r="JI165" s="228"/>
      <c r="JJ165" s="228"/>
      <c r="JK165" s="228"/>
      <c r="JL165" s="228"/>
      <c r="JM165" s="228"/>
      <c r="JN165" s="228"/>
      <c r="JO165" s="228"/>
      <c r="JP165" s="228"/>
      <c r="JQ165" s="228"/>
      <c r="JR165" s="228"/>
      <c r="JS165" s="228"/>
      <c r="JT165" s="228"/>
      <c r="JU165" s="228"/>
      <c r="JV165" s="228"/>
      <c r="JW165" s="228"/>
      <c r="JX165" s="228"/>
      <c r="JY165" s="228"/>
      <c r="JZ165" s="228"/>
      <c r="KA165" s="228"/>
      <c r="KB165" s="228"/>
      <c r="KC165" s="228"/>
      <c r="KD165" s="228"/>
      <c r="KE165" s="228"/>
      <c r="KF165" s="228"/>
      <c r="KG165" s="228"/>
      <c r="KH165" s="228"/>
      <c r="KI165" s="228"/>
      <c r="KJ165" s="228"/>
      <c r="KK165" s="228"/>
      <c r="KL165" s="228"/>
      <c r="KM165" s="228"/>
      <c r="KN165" s="228"/>
      <c r="KO165" s="228"/>
      <c r="KP165" s="228"/>
      <c r="KQ165" s="228"/>
      <c r="KR165" s="228"/>
      <c r="KS165" s="228"/>
      <c r="KT165" s="228"/>
      <c r="KU165" s="228"/>
      <c r="KV165" s="228"/>
      <c r="KW165" s="228"/>
      <c r="KX165" s="228"/>
      <c r="KY165" s="228"/>
      <c r="KZ165" s="228"/>
      <c r="LA165" s="228"/>
      <c r="LB165" s="228"/>
      <c r="LC165" s="228"/>
      <c r="LD165" s="228"/>
      <c r="LE165" s="228"/>
      <c r="LF165" s="228"/>
      <c r="LG165" s="228"/>
      <c r="LH165" s="228"/>
      <c r="LI165" s="228"/>
      <c r="LJ165" s="228"/>
      <c r="LK165" s="228"/>
      <c r="LL165" s="228"/>
      <c r="LM165" s="228"/>
      <c r="LN165" s="228"/>
      <c r="LO165" s="228"/>
      <c r="LP165" s="228"/>
      <c r="LQ165" s="228"/>
      <c r="LR165" s="228"/>
      <c r="LS165" s="228"/>
      <c r="LT165" s="228"/>
      <c r="LU165" s="228"/>
      <c r="LV165" s="228"/>
      <c r="LW165" s="228"/>
      <c r="LX165" s="228"/>
      <c r="LY165" s="228"/>
      <c r="LZ165" s="228"/>
      <c r="MA165" s="228"/>
      <c r="MB165" s="228"/>
      <c r="MC165" s="228"/>
      <c r="MD165" s="228"/>
      <c r="ME165" s="228"/>
      <c r="MF165" s="228"/>
      <c r="MG165" s="228"/>
      <c r="MH165" s="228"/>
      <c r="MI165" s="228"/>
      <c r="MJ165" s="228"/>
      <c r="MK165" s="228"/>
      <c r="ML165" s="228"/>
      <c r="MM165" s="228"/>
      <c r="MN165" s="228"/>
      <c r="MO165" s="228"/>
      <c r="MP165" s="228"/>
      <c r="MQ165" s="228"/>
      <c r="MR165" s="228"/>
      <c r="MS165" s="228"/>
      <c r="MT165" s="228"/>
      <c r="MU165" s="228"/>
      <c r="MV165" s="228"/>
      <c r="MW165" s="228"/>
      <c r="MX165" s="228"/>
      <c r="MY165" s="228"/>
      <c r="MZ165" s="228"/>
      <c r="NA165" s="228"/>
      <c r="NB165" s="228"/>
      <c r="NC165" s="228"/>
      <c r="ND165" s="228"/>
      <c r="NE165" s="228"/>
      <c r="NF165" s="228"/>
      <c r="NG165" s="228"/>
      <c r="NH165" s="228"/>
      <c r="NI165" s="228"/>
      <c r="NJ165" s="228"/>
      <c r="NK165" s="228"/>
      <c r="NL165" s="228"/>
      <c r="NM165" s="228"/>
      <c r="NN165" s="228"/>
      <c r="NO165" s="228"/>
      <c r="NP165" s="228"/>
      <c r="NQ165" s="228"/>
      <c r="NR165" s="228"/>
      <c r="NS165" s="228"/>
      <c r="NT165" s="228"/>
      <c r="NU165" s="228"/>
      <c r="NV165" s="228"/>
      <c r="NW165" s="228"/>
      <c r="NX165" s="228"/>
      <c r="NY165" s="228"/>
      <c r="NZ165" s="228"/>
      <c r="OA165" s="228"/>
      <c r="OB165" s="228"/>
      <c r="OC165" s="228"/>
      <c r="OD165" s="228"/>
      <c r="OE165" s="228"/>
      <c r="OF165" s="228"/>
      <c r="OG165" s="228"/>
      <c r="OH165" s="228"/>
      <c r="OI165" s="228"/>
      <c r="OJ165" s="228"/>
      <c r="OK165" s="228"/>
      <c r="OL165" s="228"/>
      <c r="OM165" s="228"/>
      <c r="ON165" s="228"/>
      <c r="OO165" s="228"/>
      <c r="OP165" s="228"/>
      <c r="OQ165" s="228"/>
      <c r="OR165" s="228"/>
      <c r="OS165" s="228"/>
      <c r="OT165" s="228"/>
      <c r="OU165" s="228"/>
      <c r="OV165" s="228"/>
      <c r="OW165" s="228"/>
      <c r="OX165" s="228"/>
      <c r="OY165" s="228"/>
      <c r="OZ165" s="228"/>
      <c r="PA165" s="228"/>
      <c r="PB165" s="228"/>
      <c r="PC165" s="228"/>
      <c r="PD165" s="228"/>
      <c r="PE165" s="228"/>
      <c r="PF165" s="228"/>
      <c r="PG165" s="228"/>
      <c r="PH165" s="228"/>
      <c r="PI165" s="228"/>
      <c r="PJ165" s="228"/>
      <c r="PK165" s="228"/>
      <c r="PL165" s="228"/>
      <c r="PM165" s="228"/>
      <c r="PN165" s="228"/>
      <c r="PO165" s="228"/>
      <c r="PP165" s="228"/>
      <c r="PQ165" s="228"/>
      <c r="PR165" s="228"/>
      <c r="PS165" s="228"/>
      <c r="PT165" s="228"/>
      <c r="PU165" s="228"/>
      <c r="PV165" s="228"/>
      <c r="PW165" s="228"/>
      <c r="PX165" s="228"/>
      <c r="PY165" s="228"/>
      <c r="PZ165" s="228"/>
      <c r="QA165" s="228"/>
      <c r="QB165" s="228"/>
      <c r="QC165" s="228"/>
      <c r="QD165" s="228"/>
      <c r="QE165" s="228"/>
      <c r="QF165" s="228"/>
      <c r="QG165" s="228"/>
      <c r="QH165" s="228"/>
      <c r="QI165" s="228"/>
      <c r="QJ165" s="228"/>
      <c r="QK165" s="228"/>
      <c r="QL165" s="228"/>
      <c r="QM165" s="228"/>
      <c r="QN165" s="228"/>
      <c r="QO165" s="228"/>
      <c r="QP165" s="228"/>
      <c r="QQ165" s="228"/>
      <c r="QR165" s="228"/>
      <c r="QS165" s="228"/>
      <c r="QT165" s="228"/>
      <c r="QU165" s="228"/>
      <c r="QV165" s="228"/>
      <c r="QW165" s="228"/>
      <c r="QX165" s="228"/>
      <c r="QY165" s="228"/>
      <c r="QZ165" s="228"/>
      <c r="RA165" s="228"/>
      <c r="RB165" s="228"/>
      <c r="RC165" s="228"/>
      <c r="RD165" s="228"/>
      <c r="RE165" s="228"/>
      <c r="RF165" s="228"/>
      <c r="RG165" s="228"/>
      <c r="RH165" s="228"/>
      <c r="RI165" s="228"/>
      <c r="RJ165" s="228"/>
      <c r="RK165" s="228"/>
      <c r="RL165" s="228"/>
      <c r="RM165" s="228"/>
      <c r="RN165" s="228"/>
      <c r="RO165" s="228"/>
      <c r="RP165" s="228"/>
      <c r="RQ165" s="228"/>
      <c r="RR165" s="228"/>
      <c r="RS165" s="228"/>
      <c r="RT165" s="228"/>
      <c r="RU165" s="228"/>
      <c r="RV165" s="228"/>
      <c r="RW165" s="228"/>
      <c r="RX165" s="228"/>
      <c r="RY165" s="228"/>
      <c r="RZ165" s="228"/>
      <c r="SA165" s="228"/>
      <c r="SB165" s="228"/>
      <c r="SC165" s="228"/>
      <c r="SD165" s="228"/>
      <c r="SE165" s="228"/>
      <c r="SF165" s="228"/>
      <c r="SG165" s="228"/>
      <c r="SH165" s="228"/>
      <c r="SI165" s="228"/>
      <c r="SJ165" s="228"/>
      <c r="SK165" s="228"/>
      <c r="SL165" s="228"/>
      <c r="SM165" s="228"/>
      <c r="SN165" s="228"/>
      <c r="SO165" s="228"/>
      <c r="SP165" s="228"/>
      <c r="SQ165" s="228"/>
      <c r="SR165" s="228"/>
      <c r="SS165" s="228"/>
      <c r="ST165" s="228"/>
      <c r="SU165" s="228"/>
      <c r="SV165" s="228"/>
      <c r="SW165" s="228"/>
      <c r="SX165" s="228"/>
      <c r="SY165" s="228"/>
      <c r="SZ165" s="228"/>
      <c r="TA165" s="228"/>
      <c r="TB165" s="228"/>
      <c r="TC165" s="228"/>
      <c r="TD165" s="228"/>
      <c r="TE165" s="228"/>
      <c r="TF165" s="228"/>
      <c r="TG165" s="228"/>
      <c r="TH165" s="228"/>
      <c r="TI165" s="228"/>
      <c r="TJ165" s="228"/>
      <c r="TK165" s="228"/>
      <c r="TL165" s="228"/>
      <c r="TM165" s="228"/>
      <c r="TN165" s="228"/>
      <c r="TO165" s="228"/>
      <c r="TP165" s="228"/>
      <c r="TQ165" s="228"/>
      <c r="TR165" s="228"/>
      <c r="TS165" s="228"/>
      <c r="TT165" s="228"/>
      <c r="TU165" s="228"/>
    </row>
    <row r="166" spans="1:541" s="268" customFormat="1" outlineLevel="1" x14ac:dyDescent="0.25">
      <c r="A166" s="232">
        <v>31</v>
      </c>
      <c r="B166" s="193" t="s">
        <v>1075</v>
      </c>
      <c r="C166" s="5"/>
      <c r="D166" s="5" t="s">
        <v>1016</v>
      </c>
      <c r="E166" s="5" t="s">
        <v>100</v>
      </c>
      <c r="F166" s="213" t="s">
        <v>804</v>
      </c>
      <c r="G166" s="322" t="s">
        <v>1166</v>
      </c>
      <c r="H166" s="213" t="s">
        <v>1167</v>
      </c>
      <c r="I166" s="5"/>
      <c r="J166" s="5"/>
      <c r="K166" s="5"/>
      <c r="L166" s="5"/>
      <c r="M166" s="213"/>
      <c r="N166" s="213" t="s">
        <v>1156</v>
      </c>
      <c r="O166" s="213" t="s">
        <v>1157</v>
      </c>
      <c r="P166" s="5" t="s">
        <v>1158</v>
      </c>
      <c r="Q166" s="234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  <c r="AE166" s="228"/>
      <c r="AF166" s="228"/>
      <c r="AG166" s="228"/>
      <c r="AH166" s="228"/>
      <c r="AI166" s="228"/>
      <c r="AJ166" s="228"/>
      <c r="AK166" s="228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 s="228"/>
      <c r="AX166" s="228"/>
      <c r="AY166" s="228"/>
      <c r="AZ166" s="228"/>
      <c r="BA166" s="228"/>
      <c r="BB166" s="228"/>
      <c r="BC166" s="228"/>
      <c r="BD166" s="228"/>
      <c r="BE166" s="228"/>
      <c r="BF166" s="228"/>
      <c r="BG166" s="228"/>
      <c r="BH166" s="228"/>
      <c r="BI166" s="228"/>
      <c r="BJ166" s="228"/>
      <c r="BK166" s="228"/>
      <c r="BL166" s="228"/>
      <c r="BM166" s="228"/>
      <c r="BN166" s="228"/>
      <c r="BO166" s="228"/>
      <c r="BP166" s="228"/>
      <c r="BQ166" s="228"/>
      <c r="BR166" s="228"/>
      <c r="BS166" s="228"/>
      <c r="BT166" s="228"/>
      <c r="BU166" s="228"/>
      <c r="BV166" s="228"/>
      <c r="BW166" s="228"/>
      <c r="BX166" s="228"/>
      <c r="BY166" s="228"/>
      <c r="BZ166" s="228"/>
      <c r="CA166" s="228"/>
      <c r="CB166" s="228"/>
      <c r="CC166" s="228"/>
      <c r="CD166" s="228"/>
      <c r="CE166" s="228"/>
      <c r="CF166" s="228"/>
      <c r="CG166" s="228"/>
      <c r="CH166" s="228"/>
      <c r="CI166" s="228"/>
      <c r="CJ166" s="228"/>
      <c r="CK166" s="228"/>
      <c r="CL166" s="228"/>
      <c r="CM166" s="228"/>
      <c r="CN166" s="228"/>
      <c r="CO166" s="228"/>
      <c r="CP166" s="228"/>
      <c r="CQ166" s="228"/>
      <c r="CR166" s="228"/>
      <c r="CS166" s="228"/>
      <c r="CT166" s="228"/>
      <c r="CU166" s="228"/>
      <c r="CV166" s="228"/>
      <c r="CW166" s="228"/>
      <c r="CX166" s="228"/>
      <c r="CY166" s="228"/>
      <c r="CZ166" s="228"/>
      <c r="DA166" s="228"/>
      <c r="DB166" s="228"/>
      <c r="DC166" s="228"/>
      <c r="DD166" s="228"/>
      <c r="DE166" s="228"/>
      <c r="DF166" s="228"/>
      <c r="DG166" s="228"/>
      <c r="DH166" s="228"/>
      <c r="DI166" s="228"/>
      <c r="DJ166" s="228"/>
      <c r="DK166" s="228"/>
      <c r="DL166" s="228"/>
      <c r="DM166" s="228"/>
      <c r="DN166" s="228"/>
      <c r="DO166" s="228"/>
      <c r="DP166" s="228"/>
      <c r="DQ166" s="228"/>
      <c r="DR166" s="228"/>
      <c r="DS166" s="228"/>
      <c r="DT166" s="228"/>
      <c r="DU166" s="228"/>
      <c r="DV166" s="228"/>
      <c r="DW166" s="228"/>
      <c r="DX166" s="228"/>
      <c r="DY166" s="228"/>
      <c r="DZ166" s="228"/>
      <c r="EA166" s="228"/>
      <c r="EB166" s="228"/>
      <c r="EC166" s="228"/>
      <c r="ED166" s="228"/>
      <c r="EE166" s="228"/>
      <c r="EF166" s="228"/>
      <c r="EG166" s="228"/>
      <c r="EH166" s="228"/>
      <c r="EI166" s="228"/>
      <c r="EJ166" s="228"/>
      <c r="EK166" s="228"/>
      <c r="EL166" s="228"/>
      <c r="EM166" s="228"/>
      <c r="EN166" s="228"/>
      <c r="EO166" s="228"/>
      <c r="EP166" s="228"/>
      <c r="EQ166" s="228"/>
      <c r="ER166" s="228"/>
      <c r="ES166" s="228"/>
      <c r="ET166" s="228"/>
      <c r="EU166" s="228"/>
      <c r="EV166" s="228"/>
      <c r="EW166" s="228"/>
      <c r="EX166" s="228"/>
      <c r="EY166" s="228"/>
      <c r="EZ166" s="228"/>
      <c r="FA166" s="228"/>
      <c r="FB166" s="228"/>
      <c r="FC166" s="228"/>
      <c r="FD166" s="228"/>
      <c r="FE166" s="228"/>
      <c r="FF166" s="228"/>
      <c r="FG166" s="228"/>
      <c r="FH166" s="228"/>
      <c r="FI166" s="228"/>
      <c r="FJ166" s="228"/>
      <c r="FK166" s="228"/>
      <c r="FL166" s="228"/>
      <c r="FM166" s="228"/>
      <c r="FN166" s="228"/>
      <c r="FO166" s="228"/>
      <c r="FP166" s="228"/>
      <c r="FQ166" s="228"/>
      <c r="FR166" s="228"/>
      <c r="FS166" s="228"/>
      <c r="FT166" s="228"/>
      <c r="FU166" s="228"/>
      <c r="FV166" s="228"/>
      <c r="FW166" s="228"/>
      <c r="FX166" s="228"/>
      <c r="FY166" s="228"/>
      <c r="FZ166" s="228"/>
      <c r="GA166" s="228"/>
      <c r="GB166" s="228"/>
      <c r="GC166" s="228"/>
      <c r="GD166" s="228"/>
      <c r="GE166" s="228"/>
      <c r="GF166" s="228"/>
      <c r="GG166" s="228"/>
      <c r="GH166" s="228"/>
      <c r="GI166" s="228"/>
      <c r="GJ166" s="228"/>
      <c r="GK166" s="228"/>
      <c r="GL166" s="228"/>
      <c r="GM166" s="228"/>
      <c r="GN166" s="228"/>
      <c r="GO166" s="228"/>
      <c r="GP166" s="228"/>
      <c r="GQ166" s="228"/>
      <c r="GR166" s="228"/>
      <c r="GS166" s="228"/>
      <c r="GT166" s="228"/>
      <c r="GU166" s="228"/>
      <c r="GV166" s="228"/>
      <c r="GW166" s="228"/>
      <c r="GX166" s="228"/>
      <c r="GY166" s="228"/>
      <c r="GZ166" s="228"/>
      <c r="HA166" s="228"/>
      <c r="HB166" s="228"/>
      <c r="HC166" s="228"/>
      <c r="HD166" s="228"/>
      <c r="HE166" s="228"/>
      <c r="HF166" s="228"/>
      <c r="HG166" s="228"/>
      <c r="HH166" s="228"/>
      <c r="HI166" s="228"/>
      <c r="HJ166" s="228"/>
      <c r="HK166" s="228"/>
      <c r="HL166" s="228"/>
      <c r="HM166" s="228"/>
      <c r="HN166" s="228"/>
      <c r="HO166" s="228"/>
      <c r="HP166" s="228"/>
      <c r="HQ166" s="228"/>
      <c r="HR166" s="228"/>
      <c r="HS166" s="228"/>
      <c r="HT166" s="228"/>
      <c r="HU166" s="228"/>
      <c r="HV166" s="228"/>
      <c r="HW166" s="228"/>
      <c r="HX166" s="228"/>
      <c r="HY166" s="228"/>
      <c r="HZ166" s="228"/>
      <c r="IA166" s="228"/>
      <c r="IB166" s="228"/>
      <c r="IC166" s="228"/>
      <c r="ID166" s="228"/>
      <c r="IE166" s="228"/>
      <c r="IF166" s="228"/>
      <c r="IG166" s="228"/>
      <c r="IH166" s="228"/>
      <c r="II166" s="228"/>
      <c r="IJ166" s="228"/>
      <c r="IK166" s="228"/>
      <c r="IL166" s="228"/>
      <c r="IM166" s="228"/>
      <c r="IN166" s="228"/>
      <c r="IO166" s="228"/>
      <c r="IP166" s="228"/>
      <c r="IQ166" s="228"/>
      <c r="IR166" s="228"/>
      <c r="IS166" s="228"/>
      <c r="IT166" s="228"/>
      <c r="IU166" s="228"/>
      <c r="IV166" s="228"/>
      <c r="IW166" s="228"/>
      <c r="IX166" s="228"/>
      <c r="IY166" s="228"/>
      <c r="IZ166" s="228"/>
      <c r="JA166" s="228"/>
      <c r="JB166" s="228"/>
      <c r="JC166" s="228"/>
      <c r="JD166" s="228"/>
      <c r="JE166" s="228"/>
      <c r="JF166" s="228"/>
      <c r="JG166" s="228"/>
      <c r="JH166" s="228"/>
      <c r="JI166" s="228"/>
      <c r="JJ166" s="228"/>
      <c r="JK166" s="228"/>
      <c r="JL166" s="228"/>
      <c r="JM166" s="228"/>
      <c r="JN166" s="228"/>
      <c r="JO166" s="228"/>
      <c r="JP166" s="228"/>
      <c r="JQ166" s="228"/>
      <c r="JR166" s="228"/>
      <c r="JS166" s="228"/>
      <c r="JT166" s="228"/>
      <c r="JU166" s="228"/>
      <c r="JV166" s="228"/>
      <c r="JW166" s="228"/>
      <c r="JX166" s="228"/>
      <c r="JY166" s="228"/>
      <c r="JZ166" s="228"/>
      <c r="KA166" s="228"/>
      <c r="KB166" s="228"/>
      <c r="KC166" s="228"/>
      <c r="KD166" s="228"/>
      <c r="KE166" s="228"/>
      <c r="KF166" s="228"/>
      <c r="KG166" s="228"/>
      <c r="KH166" s="228"/>
      <c r="KI166" s="228"/>
      <c r="KJ166" s="228"/>
      <c r="KK166" s="228"/>
      <c r="KL166" s="228"/>
      <c r="KM166" s="228"/>
      <c r="KN166" s="228"/>
      <c r="KO166" s="228"/>
      <c r="KP166" s="228"/>
      <c r="KQ166" s="228"/>
      <c r="KR166" s="228"/>
      <c r="KS166" s="228"/>
      <c r="KT166" s="228"/>
      <c r="KU166" s="228"/>
      <c r="KV166" s="228"/>
      <c r="KW166" s="228"/>
      <c r="KX166" s="228"/>
      <c r="KY166" s="228"/>
      <c r="KZ166" s="228"/>
      <c r="LA166" s="228"/>
      <c r="LB166" s="228"/>
      <c r="LC166" s="228"/>
      <c r="LD166" s="228"/>
      <c r="LE166" s="228"/>
      <c r="LF166" s="228"/>
      <c r="LG166" s="228"/>
      <c r="LH166" s="228"/>
      <c r="LI166" s="228"/>
      <c r="LJ166" s="228"/>
      <c r="LK166" s="228"/>
      <c r="LL166" s="228"/>
      <c r="LM166" s="228"/>
      <c r="LN166" s="228"/>
      <c r="LO166" s="228"/>
      <c r="LP166" s="228"/>
      <c r="LQ166" s="228"/>
      <c r="LR166" s="228"/>
      <c r="LS166" s="228"/>
      <c r="LT166" s="228"/>
      <c r="LU166" s="228"/>
      <c r="LV166" s="228"/>
      <c r="LW166" s="228"/>
      <c r="LX166" s="228"/>
      <c r="LY166" s="228"/>
      <c r="LZ166" s="228"/>
      <c r="MA166" s="228"/>
      <c r="MB166" s="228"/>
      <c r="MC166" s="228"/>
      <c r="MD166" s="228"/>
      <c r="ME166" s="228"/>
      <c r="MF166" s="228"/>
      <c r="MG166" s="228"/>
      <c r="MH166" s="228"/>
      <c r="MI166" s="228"/>
      <c r="MJ166" s="228"/>
      <c r="MK166" s="228"/>
      <c r="ML166" s="228"/>
      <c r="MM166" s="228"/>
      <c r="MN166" s="228"/>
      <c r="MO166" s="228"/>
      <c r="MP166" s="228"/>
      <c r="MQ166" s="228"/>
      <c r="MR166" s="228"/>
      <c r="MS166" s="228"/>
      <c r="MT166" s="228"/>
      <c r="MU166" s="228"/>
      <c r="MV166" s="228"/>
      <c r="MW166" s="228"/>
      <c r="MX166" s="228"/>
      <c r="MY166" s="228"/>
      <c r="MZ166" s="228"/>
      <c r="NA166" s="228"/>
      <c r="NB166" s="228"/>
      <c r="NC166" s="228"/>
      <c r="ND166" s="228"/>
      <c r="NE166" s="228"/>
      <c r="NF166" s="228"/>
      <c r="NG166" s="228"/>
      <c r="NH166" s="228"/>
      <c r="NI166" s="228"/>
      <c r="NJ166" s="228"/>
      <c r="NK166" s="228"/>
      <c r="NL166" s="228"/>
      <c r="NM166" s="228"/>
      <c r="NN166" s="228"/>
      <c r="NO166" s="228"/>
      <c r="NP166" s="228"/>
      <c r="NQ166" s="228"/>
      <c r="NR166" s="228"/>
      <c r="NS166" s="228"/>
      <c r="NT166" s="228"/>
      <c r="NU166" s="228"/>
      <c r="NV166" s="228"/>
      <c r="NW166" s="228"/>
      <c r="NX166" s="228"/>
      <c r="NY166" s="228"/>
      <c r="NZ166" s="228"/>
      <c r="OA166" s="228"/>
      <c r="OB166" s="228"/>
      <c r="OC166" s="228"/>
      <c r="OD166" s="228"/>
      <c r="OE166" s="228"/>
      <c r="OF166" s="228"/>
      <c r="OG166" s="228"/>
      <c r="OH166" s="228"/>
      <c r="OI166" s="228"/>
      <c r="OJ166" s="228"/>
      <c r="OK166" s="228"/>
      <c r="OL166" s="228"/>
      <c r="OM166" s="228"/>
      <c r="ON166" s="228"/>
      <c r="OO166" s="228"/>
      <c r="OP166" s="228"/>
      <c r="OQ166" s="228"/>
      <c r="OR166" s="228"/>
      <c r="OS166" s="228"/>
      <c r="OT166" s="228"/>
      <c r="OU166" s="228"/>
      <c r="OV166" s="228"/>
      <c r="OW166" s="228"/>
      <c r="OX166" s="228"/>
      <c r="OY166" s="228"/>
      <c r="OZ166" s="228"/>
      <c r="PA166" s="228"/>
      <c r="PB166" s="228"/>
      <c r="PC166" s="228"/>
      <c r="PD166" s="228"/>
      <c r="PE166" s="228"/>
      <c r="PF166" s="228"/>
      <c r="PG166" s="228"/>
      <c r="PH166" s="228"/>
      <c r="PI166" s="228"/>
      <c r="PJ166" s="228"/>
      <c r="PK166" s="228"/>
      <c r="PL166" s="228"/>
      <c r="PM166" s="228"/>
      <c r="PN166" s="228"/>
      <c r="PO166" s="228"/>
      <c r="PP166" s="228"/>
      <c r="PQ166" s="228"/>
      <c r="PR166" s="228"/>
      <c r="PS166" s="228"/>
      <c r="PT166" s="228"/>
      <c r="PU166" s="228"/>
      <c r="PV166" s="228"/>
      <c r="PW166" s="228"/>
      <c r="PX166" s="228"/>
      <c r="PY166" s="228"/>
      <c r="PZ166" s="228"/>
      <c r="QA166" s="228"/>
      <c r="QB166" s="228"/>
      <c r="QC166" s="228"/>
      <c r="QD166" s="228"/>
      <c r="QE166" s="228"/>
      <c r="QF166" s="228"/>
      <c r="QG166" s="228"/>
      <c r="QH166" s="228"/>
      <c r="QI166" s="228"/>
      <c r="QJ166" s="228"/>
      <c r="QK166" s="228"/>
      <c r="QL166" s="228"/>
      <c r="QM166" s="228"/>
      <c r="QN166" s="228"/>
      <c r="QO166" s="228"/>
      <c r="QP166" s="228"/>
      <c r="QQ166" s="228"/>
      <c r="QR166" s="228"/>
      <c r="QS166" s="228"/>
      <c r="QT166" s="228"/>
      <c r="QU166" s="228"/>
      <c r="QV166" s="228"/>
      <c r="QW166" s="228"/>
      <c r="QX166" s="228"/>
      <c r="QY166" s="228"/>
      <c r="QZ166" s="228"/>
      <c r="RA166" s="228"/>
      <c r="RB166" s="228"/>
      <c r="RC166" s="228"/>
      <c r="RD166" s="228"/>
      <c r="RE166" s="228"/>
      <c r="RF166" s="228"/>
      <c r="RG166" s="228"/>
      <c r="RH166" s="228"/>
      <c r="RI166" s="228"/>
      <c r="RJ166" s="228"/>
      <c r="RK166" s="228"/>
      <c r="RL166" s="228"/>
      <c r="RM166" s="228"/>
      <c r="RN166" s="228"/>
      <c r="RO166" s="228"/>
      <c r="RP166" s="228"/>
      <c r="RQ166" s="228"/>
      <c r="RR166" s="228"/>
      <c r="RS166" s="228"/>
      <c r="RT166" s="228"/>
      <c r="RU166" s="228"/>
      <c r="RV166" s="228"/>
      <c r="RW166" s="228"/>
      <c r="RX166" s="228"/>
      <c r="RY166" s="228"/>
      <c r="RZ166" s="228"/>
      <c r="SA166" s="228"/>
      <c r="SB166" s="228"/>
      <c r="SC166" s="228"/>
      <c r="SD166" s="228"/>
      <c r="SE166" s="228"/>
      <c r="SF166" s="228"/>
      <c r="SG166" s="228"/>
      <c r="SH166" s="228"/>
      <c r="SI166" s="228"/>
      <c r="SJ166" s="228"/>
      <c r="SK166" s="228"/>
      <c r="SL166" s="228"/>
      <c r="SM166" s="228"/>
      <c r="SN166" s="228"/>
      <c r="SO166" s="228"/>
      <c r="SP166" s="228"/>
      <c r="SQ166" s="228"/>
      <c r="SR166" s="228"/>
      <c r="SS166" s="228"/>
      <c r="ST166" s="228"/>
      <c r="SU166" s="228"/>
      <c r="SV166" s="228"/>
      <c r="SW166" s="228"/>
      <c r="SX166" s="228"/>
      <c r="SY166" s="228"/>
      <c r="SZ166" s="228"/>
      <c r="TA166" s="228"/>
      <c r="TB166" s="228"/>
      <c r="TC166" s="228"/>
      <c r="TD166" s="228"/>
      <c r="TE166" s="228"/>
      <c r="TF166" s="228"/>
      <c r="TG166" s="228"/>
      <c r="TH166" s="228"/>
      <c r="TI166" s="228"/>
      <c r="TJ166" s="228"/>
      <c r="TK166" s="228"/>
      <c r="TL166" s="228"/>
      <c r="TM166" s="228"/>
      <c r="TN166" s="228"/>
      <c r="TO166" s="228"/>
      <c r="TP166" s="228"/>
      <c r="TQ166" s="228"/>
      <c r="TR166" s="228"/>
      <c r="TS166" s="228"/>
      <c r="TT166" s="228"/>
      <c r="TU166" s="228"/>
    </row>
    <row r="167" spans="1:541" s="269" customFormat="1" outlineLevel="1" x14ac:dyDescent="0.25">
      <c r="A167" s="237">
        <v>32</v>
      </c>
      <c r="B167" s="238" t="s">
        <v>1075</v>
      </c>
      <c r="C167" s="222" t="s">
        <v>668</v>
      </c>
      <c r="D167" s="222" t="s">
        <v>1055</v>
      </c>
      <c r="E167" s="222" t="s">
        <v>100</v>
      </c>
      <c r="F167" s="223" t="s">
        <v>0</v>
      </c>
      <c r="G167" s="323" t="s">
        <v>792</v>
      </c>
      <c r="H167" s="223" t="s">
        <v>1167</v>
      </c>
      <c r="I167" s="222"/>
      <c r="J167" s="223" t="s">
        <v>1056</v>
      </c>
      <c r="K167" s="222"/>
      <c r="L167" s="222"/>
      <c r="M167" s="223"/>
      <c r="N167" s="222" t="s">
        <v>1159</v>
      </c>
      <c r="O167" s="222" t="s">
        <v>1160</v>
      </c>
      <c r="P167" s="222" t="s">
        <v>1156</v>
      </c>
      <c r="Q167" s="239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  <c r="AK167" s="240"/>
      <c r="AL167" s="240"/>
      <c r="AM167" s="240"/>
      <c r="AN167" s="240"/>
      <c r="AO167" s="240"/>
      <c r="AP167" s="240"/>
      <c r="AQ167" s="240"/>
      <c r="AR167" s="240"/>
      <c r="AS167" s="240"/>
      <c r="AT167" s="240"/>
      <c r="AU167" s="240"/>
      <c r="AV167" s="240"/>
      <c r="AW167" s="240"/>
      <c r="AX167" s="240"/>
      <c r="AY167" s="240"/>
      <c r="AZ167" s="240"/>
      <c r="BA167" s="240"/>
      <c r="BB167" s="240"/>
      <c r="BC167" s="240"/>
      <c r="BD167" s="240"/>
      <c r="BE167" s="240"/>
      <c r="BF167" s="240"/>
      <c r="BG167" s="240"/>
      <c r="BH167" s="240"/>
      <c r="BI167" s="240"/>
      <c r="BJ167" s="240"/>
      <c r="BK167" s="240"/>
      <c r="BL167" s="240"/>
      <c r="BM167" s="240"/>
      <c r="BN167" s="240"/>
      <c r="BO167" s="240"/>
      <c r="BP167" s="240"/>
      <c r="BQ167" s="240"/>
      <c r="BR167" s="240"/>
      <c r="BS167" s="240"/>
      <c r="BT167" s="240"/>
      <c r="BU167" s="240"/>
      <c r="BV167" s="240"/>
      <c r="BW167" s="240"/>
      <c r="BX167" s="240"/>
      <c r="BY167" s="240"/>
      <c r="BZ167" s="240"/>
      <c r="CA167" s="240"/>
      <c r="CB167" s="240"/>
      <c r="CC167" s="240"/>
      <c r="CD167" s="240"/>
      <c r="CE167" s="240"/>
      <c r="CF167" s="240"/>
      <c r="CG167" s="240"/>
      <c r="CH167" s="240"/>
      <c r="CI167" s="240"/>
      <c r="CJ167" s="240"/>
      <c r="CK167" s="240"/>
      <c r="CL167" s="240"/>
      <c r="CM167" s="240"/>
      <c r="CN167" s="240"/>
      <c r="CO167" s="240"/>
      <c r="CP167" s="240"/>
      <c r="CQ167" s="240"/>
      <c r="CR167" s="240"/>
      <c r="CS167" s="240"/>
      <c r="CT167" s="240"/>
      <c r="CU167" s="240"/>
      <c r="CV167" s="240"/>
      <c r="CW167" s="240"/>
      <c r="CX167" s="240"/>
      <c r="CY167" s="240"/>
      <c r="CZ167" s="240"/>
      <c r="DA167" s="240"/>
      <c r="DB167" s="240"/>
      <c r="DC167" s="240"/>
      <c r="DD167" s="240"/>
      <c r="DE167" s="240"/>
      <c r="DF167" s="240"/>
      <c r="DG167" s="240"/>
      <c r="DH167" s="240"/>
      <c r="DI167" s="240"/>
      <c r="DJ167" s="240"/>
      <c r="DK167" s="240"/>
      <c r="DL167" s="240"/>
      <c r="DM167" s="240"/>
      <c r="DN167" s="240"/>
      <c r="DO167" s="240"/>
      <c r="DP167" s="240"/>
      <c r="DQ167" s="240"/>
      <c r="DR167" s="240"/>
      <c r="DS167" s="240"/>
      <c r="DT167" s="240"/>
      <c r="DU167" s="240"/>
      <c r="DV167" s="240"/>
      <c r="DW167" s="240"/>
      <c r="DX167" s="240"/>
      <c r="DY167" s="240"/>
      <c r="DZ167" s="240"/>
      <c r="EA167" s="240"/>
      <c r="EB167" s="240"/>
      <c r="EC167" s="240"/>
      <c r="ED167" s="240"/>
      <c r="EE167" s="240"/>
      <c r="EF167" s="240"/>
      <c r="EG167" s="240"/>
      <c r="EH167" s="240"/>
      <c r="EI167" s="240"/>
      <c r="EJ167" s="240"/>
      <c r="EK167" s="240"/>
      <c r="EL167" s="240"/>
      <c r="EM167" s="240"/>
      <c r="EN167" s="240"/>
      <c r="EO167" s="240"/>
      <c r="EP167" s="240"/>
      <c r="EQ167" s="240"/>
      <c r="ER167" s="240"/>
      <c r="ES167" s="240"/>
      <c r="ET167" s="240"/>
      <c r="EU167" s="240"/>
      <c r="EV167" s="240"/>
      <c r="EW167" s="240"/>
      <c r="EX167" s="240"/>
      <c r="EY167" s="240"/>
      <c r="EZ167" s="240"/>
      <c r="FA167" s="240"/>
      <c r="FB167" s="240"/>
      <c r="FC167" s="240"/>
      <c r="FD167" s="240"/>
      <c r="FE167" s="240"/>
      <c r="FF167" s="240"/>
      <c r="FG167" s="240"/>
      <c r="FH167" s="240"/>
      <c r="FI167" s="240"/>
      <c r="FJ167" s="240"/>
      <c r="FK167" s="240"/>
      <c r="FL167" s="240"/>
      <c r="FM167" s="240"/>
      <c r="FN167" s="240"/>
      <c r="FO167" s="240"/>
      <c r="FP167" s="240"/>
      <c r="FQ167" s="240"/>
      <c r="FR167" s="240"/>
      <c r="FS167" s="240"/>
      <c r="FT167" s="240"/>
      <c r="FU167" s="240"/>
      <c r="FV167" s="240"/>
      <c r="FW167" s="240"/>
      <c r="FX167" s="240"/>
      <c r="FY167" s="240"/>
      <c r="FZ167" s="240"/>
      <c r="GA167" s="240"/>
      <c r="GB167" s="240"/>
      <c r="GC167" s="240"/>
      <c r="GD167" s="240"/>
      <c r="GE167" s="240"/>
      <c r="GF167" s="240"/>
      <c r="GG167" s="240"/>
      <c r="GH167" s="240"/>
      <c r="GI167" s="240"/>
      <c r="GJ167" s="240"/>
      <c r="GK167" s="240"/>
      <c r="GL167" s="240"/>
      <c r="GM167" s="240"/>
      <c r="GN167" s="240"/>
      <c r="GO167" s="240"/>
      <c r="GP167" s="240"/>
      <c r="GQ167" s="240"/>
      <c r="GR167" s="240"/>
      <c r="GS167" s="240"/>
      <c r="GT167" s="240"/>
      <c r="GU167" s="240"/>
      <c r="GV167" s="240"/>
      <c r="GW167" s="240"/>
      <c r="GX167" s="240"/>
      <c r="GY167" s="240"/>
      <c r="GZ167" s="240"/>
      <c r="HA167" s="240"/>
      <c r="HB167" s="240"/>
      <c r="HC167" s="240"/>
      <c r="HD167" s="240"/>
      <c r="HE167" s="240"/>
      <c r="HF167" s="240"/>
      <c r="HG167" s="240"/>
      <c r="HH167" s="240"/>
      <c r="HI167" s="240"/>
      <c r="HJ167" s="240"/>
      <c r="HK167" s="240"/>
      <c r="HL167" s="240"/>
      <c r="HM167" s="240"/>
      <c r="HN167" s="240"/>
      <c r="HO167" s="240"/>
      <c r="HP167" s="240"/>
      <c r="HQ167" s="240"/>
      <c r="HR167" s="240"/>
      <c r="HS167" s="240"/>
      <c r="HT167" s="240"/>
      <c r="HU167" s="240"/>
      <c r="HV167" s="240"/>
      <c r="HW167" s="240"/>
      <c r="HX167" s="240"/>
      <c r="HY167" s="240"/>
      <c r="HZ167" s="240"/>
      <c r="IA167" s="240"/>
      <c r="IB167" s="240"/>
      <c r="IC167" s="240"/>
      <c r="ID167" s="240"/>
      <c r="IE167" s="240"/>
      <c r="IF167" s="240"/>
      <c r="IG167" s="240"/>
      <c r="IH167" s="240"/>
      <c r="II167" s="240"/>
      <c r="IJ167" s="240"/>
      <c r="IK167" s="240"/>
      <c r="IL167" s="240"/>
      <c r="IM167" s="240"/>
      <c r="IN167" s="240"/>
      <c r="IO167" s="240"/>
      <c r="IP167" s="240"/>
      <c r="IQ167" s="240"/>
      <c r="IR167" s="240"/>
      <c r="IS167" s="240"/>
      <c r="IT167" s="240"/>
      <c r="IU167" s="240"/>
      <c r="IV167" s="240"/>
      <c r="IW167" s="240"/>
      <c r="IX167" s="240"/>
      <c r="IY167" s="240"/>
      <c r="IZ167" s="240"/>
      <c r="JA167" s="240"/>
      <c r="JB167" s="240"/>
      <c r="JC167" s="240"/>
      <c r="JD167" s="240"/>
      <c r="JE167" s="240"/>
      <c r="JF167" s="240"/>
      <c r="JG167" s="240"/>
      <c r="JH167" s="240"/>
      <c r="JI167" s="240"/>
      <c r="JJ167" s="240"/>
      <c r="JK167" s="240"/>
      <c r="JL167" s="240"/>
      <c r="JM167" s="240"/>
      <c r="JN167" s="240"/>
      <c r="JO167" s="240"/>
      <c r="JP167" s="240"/>
      <c r="JQ167" s="240"/>
      <c r="JR167" s="240"/>
      <c r="JS167" s="240"/>
      <c r="JT167" s="240"/>
      <c r="JU167" s="240"/>
      <c r="JV167" s="240"/>
      <c r="JW167" s="240"/>
      <c r="JX167" s="240"/>
      <c r="JY167" s="240"/>
      <c r="JZ167" s="240"/>
      <c r="KA167" s="240"/>
      <c r="KB167" s="240"/>
      <c r="KC167" s="240"/>
      <c r="KD167" s="240"/>
      <c r="KE167" s="240"/>
      <c r="KF167" s="240"/>
      <c r="KG167" s="240"/>
      <c r="KH167" s="240"/>
      <c r="KI167" s="240"/>
      <c r="KJ167" s="240"/>
      <c r="KK167" s="240"/>
      <c r="KL167" s="240"/>
      <c r="KM167" s="240"/>
      <c r="KN167" s="240"/>
      <c r="KO167" s="240"/>
      <c r="KP167" s="240"/>
      <c r="KQ167" s="240"/>
      <c r="KR167" s="240"/>
      <c r="KS167" s="240"/>
      <c r="KT167" s="240"/>
      <c r="KU167" s="240"/>
      <c r="KV167" s="240"/>
      <c r="KW167" s="240"/>
      <c r="KX167" s="240"/>
      <c r="KY167" s="240"/>
      <c r="KZ167" s="240"/>
      <c r="LA167" s="240"/>
      <c r="LB167" s="240"/>
      <c r="LC167" s="240"/>
      <c r="LD167" s="240"/>
      <c r="LE167" s="240"/>
      <c r="LF167" s="240"/>
      <c r="LG167" s="240"/>
      <c r="LH167" s="240"/>
      <c r="LI167" s="240"/>
      <c r="LJ167" s="240"/>
      <c r="LK167" s="240"/>
      <c r="LL167" s="240"/>
      <c r="LM167" s="240"/>
      <c r="LN167" s="240"/>
      <c r="LO167" s="240"/>
      <c r="LP167" s="240"/>
      <c r="LQ167" s="240"/>
      <c r="LR167" s="240"/>
      <c r="LS167" s="240"/>
      <c r="LT167" s="240"/>
      <c r="LU167" s="240"/>
      <c r="LV167" s="240"/>
      <c r="LW167" s="240"/>
      <c r="LX167" s="240"/>
      <c r="LY167" s="240"/>
      <c r="LZ167" s="240"/>
      <c r="MA167" s="240"/>
      <c r="MB167" s="240"/>
      <c r="MC167" s="240"/>
      <c r="MD167" s="240"/>
      <c r="ME167" s="240"/>
      <c r="MF167" s="240"/>
      <c r="MG167" s="240"/>
      <c r="MH167" s="240"/>
      <c r="MI167" s="240"/>
      <c r="MJ167" s="240"/>
      <c r="MK167" s="240"/>
      <c r="ML167" s="240"/>
      <c r="MM167" s="240"/>
      <c r="MN167" s="240"/>
      <c r="MO167" s="240"/>
      <c r="MP167" s="240"/>
      <c r="MQ167" s="240"/>
      <c r="MR167" s="240"/>
      <c r="MS167" s="240"/>
      <c r="MT167" s="240"/>
      <c r="MU167" s="240"/>
      <c r="MV167" s="240"/>
      <c r="MW167" s="240"/>
      <c r="MX167" s="240"/>
      <c r="MY167" s="240"/>
      <c r="MZ167" s="240"/>
      <c r="NA167" s="240"/>
      <c r="NB167" s="240"/>
      <c r="NC167" s="240"/>
      <c r="ND167" s="240"/>
      <c r="NE167" s="240"/>
      <c r="NF167" s="240"/>
      <c r="NG167" s="240"/>
      <c r="NH167" s="240"/>
      <c r="NI167" s="240"/>
      <c r="NJ167" s="240"/>
      <c r="NK167" s="240"/>
      <c r="NL167" s="240"/>
      <c r="NM167" s="240"/>
      <c r="NN167" s="240"/>
      <c r="NO167" s="240"/>
      <c r="NP167" s="240"/>
      <c r="NQ167" s="240"/>
      <c r="NR167" s="240"/>
      <c r="NS167" s="240"/>
      <c r="NT167" s="240"/>
      <c r="NU167" s="240"/>
      <c r="NV167" s="240"/>
      <c r="NW167" s="240"/>
      <c r="NX167" s="240"/>
      <c r="NY167" s="240"/>
      <c r="NZ167" s="240"/>
      <c r="OA167" s="240"/>
      <c r="OB167" s="240"/>
      <c r="OC167" s="240"/>
      <c r="OD167" s="240"/>
      <c r="OE167" s="240"/>
      <c r="OF167" s="240"/>
      <c r="OG167" s="240"/>
      <c r="OH167" s="240"/>
      <c r="OI167" s="240"/>
      <c r="OJ167" s="240"/>
      <c r="OK167" s="240"/>
      <c r="OL167" s="240"/>
      <c r="OM167" s="240"/>
      <c r="ON167" s="240"/>
      <c r="OO167" s="240"/>
      <c r="OP167" s="240"/>
      <c r="OQ167" s="240"/>
      <c r="OR167" s="240"/>
      <c r="OS167" s="240"/>
      <c r="OT167" s="240"/>
      <c r="OU167" s="240"/>
      <c r="OV167" s="240"/>
      <c r="OW167" s="240"/>
      <c r="OX167" s="240"/>
      <c r="OY167" s="240"/>
      <c r="OZ167" s="240"/>
      <c r="PA167" s="240"/>
      <c r="PB167" s="240"/>
      <c r="PC167" s="240"/>
      <c r="PD167" s="240"/>
      <c r="PE167" s="240"/>
      <c r="PF167" s="240"/>
      <c r="PG167" s="240"/>
      <c r="PH167" s="240"/>
      <c r="PI167" s="240"/>
      <c r="PJ167" s="240"/>
      <c r="PK167" s="240"/>
      <c r="PL167" s="240"/>
      <c r="PM167" s="240"/>
      <c r="PN167" s="240"/>
      <c r="PO167" s="240"/>
      <c r="PP167" s="240"/>
      <c r="PQ167" s="240"/>
      <c r="PR167" s="240"/>
      <c r="PS167" s="240"/>
      <c r="PT167" s="240"/>
      <c r="PU167" s="240"/>
      <c r="PV167" s="240"/>
      <c r="PW167" s="240"/>
      <c r="PX167" s="240"/>
      <c r="PY167" s="240"/>
      <c r="PZ167" s="240"/>
      <c r="QA167" s="240"/>
      <c r="QB167" s="240"/>
      <c r="QC167" s="240"/>
      <c r="QD167" s="240"/>
      <c r="QE167" s="240"/>
      <c r="QF167" s="240"/>
      <c r="QG167" s="240"/>
      <c r="QH167" s="240"/>
      <c r="QI167" s="240"/>
      <c r="QJ167" s="240"/>
      <c r="QK167" s="240"/>
      <c r="QL167" s="240"/>
      <c r="QM167" s="240"/>
      <c r="QN167" s="240"/>
      <c r="QO167" s="240"/>
      <c r="QP167" s="240"/>
      <c r="QQ167" s="240"/>
      <c r="QR167" s="240"/>
      <c r="QS167" s="240"/>
      <c r="QT167" s="240"/>
      <c r="QU167" s="240"/>
      <c r="QV167" s="240"/>
      <c r="QW167" s="240"/>
      <c r="QX167" s="240"/>
      <c r="QY167" s="240"/>
      <c r="QZ167" s="240"/>
      <c r="RA167" s="240"/>
      <c r="RB167" s="240"/>
      <c r="RC167" s="240"/>
      <c r="RD167" s="240"/>
      <c r="RE167" s="240"/>
      <c r="RF167" s="240"/>
      <c r="RG167" s="240"/>
      <c r="RH167" s="240"/>
      <c r="RI167" s="240"/>
      <c r="RJ167" s="240"/>
      <c r="RK167" s="240"/>
      <c r="RL167" s="240"/>
      <c r="RM167" s="240"/>
      <c r="RN167" s="240"/>
      <c r="RO167" s="240"/>
      <c r="RP167" s="240"/>
      <c r="RQ167" s="240"/>
      <c r="RR167" s="240"/>
      <c r="RS167" s="240"/>
      <c r="RT167" s="240"/>
      <c r="RU167" s="240"/>
      <c r="RV167" s="240"/>
      <c r="RW167" s="240"/>
      <c r="RX167" s="240"/>
      <c r="RY167" s="240"/>
      <c r="RZ167" s="240"/>
      <c r="SA167" s="240"/>
      <c r="SB167" s="240"/>
      <c r="SC167" s="240"/>
      <c r="SD167" s="240"/>
      <c r="SE167" s="240"/>
      <c r="SF167" s="240"/>
      <c r="SG167" s="240"/>
      <c r="SH167" s="240"/>
      <c r="SI167" s="240"/>
      <c r="SJ167" s="240"/>
      <c r="SK167" s="240"/>
      <c r="SL167" s="240"/>
      <c r="SM167" s="240"/>
      <c r="SN167" s="240"/>
      <c r="SO167" s="240"/>
      <c r="SP167" s="240"/>
      <c r="SQ167" s="240"/>
      <c r="SR167" s="240"/>
      <c r="SS167" s="240"/>
      <c r="ST167" s="240"/>
      <c r="SU167" s="240"/>
      <c r="SV167" s="240"/>
      <c r="SW167" s="240"/>
      <c r="SX167" s="240"/>
      <c r="SY167" s="240"/>
      <c r="SZ167" s="240"/>
      <c r="TA167" s="240"/>
      <c r="TB167" s="240"/>
      <c r="TC167" s="240"/>
      <c r="TD167" s="240"/>
      <c r="TE167" s="240"/>
      <c r="TF167" s="240"/>
      <c r="TG167" s="240"/>
      <c r="TH167" s="240"/>
      <c r="TI167" s="240"/>
      <c r="TJ167" s="240"/>
      <c r="TK167" s="240"/>
      <c r="TL167" s="240"/>
      <c r="TM167" s="240"/>
      <c r="TN167" s="240"/>
      <c r="TO167" s="240"/>
      <c r="TP167" s="240"/>
      <c r="TQ167" s="240"/>
      <c r="TR167" s="240"/>
      <c r="TS167" s="240"/>
      <c r="TT167" s="240"/>
      <c r="TU167" s="240"/>
    </row>
    <row r="168" spans="1:541" s="269" customFormat="1" outlineLevel="1" x14ac:dyDescent="0.25">
      <c r="A168" s="237">
        <v>33</v>
      </c>
      <c r="B168" s="238" t="s">
        <v>1075</v>
      </c>
      <c r="C168" s="222" t="s">
        <v>668</v>
      </c>
      <c r="D168" s="222" t="s">
        <v>1052</v>
      </c>
      <c r="E168" s="222" t="s">
        <v>100</v>
      </c>
      <c r="F168" s="223" t="s">
        <v>0</v>
      </c>
      <c r="G168" s="323" t="s">
        <v>792</v>
      </c>
      <c r="H168" s="223" t="s">
        <v>1167</v>
      </c>
      <c r="I168" s="222"/>
      <c r="J168" s="223" t="s">
        <v>1056</v>
      </c>
      <c r="K168" s="222"/>
      <c r="L168" s="222"/>
      <c r="M168" s="223"/>
      <c r="N168" s="222" t="s">
        <v>1159</v>
      </c>
      <c r="O168" s="222" t="s">
        <v>1160</v>
      </c>
      <c r="P168" s="222" t="s">
        <v>1156</v>
      </c>
      <c r="Q168" s="239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  <c r="AK168" s="240"/>
      <c r="AL168" s="240"/>
      <c r="AM168" s="240"/>
      <c r="AN168" s="240"/>
      <c r="AO168" s="240"/>
      <c r="AP168" s="240"/>
      <c r="AQ168" s="240"/>
      <c r="AR168" s="240"/>
      <c r="AS168" s="240"/>
      <c r="AT168" s="240"/>
      <c r="AU168" s="240"/>
      <c r="AV168" s="240"/>
      <c r="AW168" s="240"/>
      <c r="AX168" s="240"/>
      <c r="AY168" s="240"/>
      <c r="AZ168" s="240"/>
      <c r="BA168" s="240"/>
      <c r="BB168" s="240"/>
      <c r="BC168" s="240"/>
      <c r="BD168" s="240"/>
      <c r="BE168" s="240"/>
      <c r="BF168" s="240"/>
      <c r="BG168" s="240"/>
      <c r="BH168" s="240"/>
      <c r="BI168" s="240"/>
      <c r="BJ168" s="240"/>
      <c r="BK168" s="240"/>
      <c r="BL168" s="240"/>
      <c r="BM168" s="240"/>
      <c r="BN168" s="240"/>
      <c r="BO168" s="240"/>
      <c r="BP168" s="240"/>
      <c r="BQ168" s="240"/>
      <c r="BR168" s="240"/>
      <c r="BS168" s="240"/>
      <c r="BT168" s="240"/>
      <c r="BU168" s="240"/>
      <c r="BV168" s="240"/>
      <c r="BW168" s="240"/>
      <c r="BX168" s="240"/>
      <c r="BY168" s="240"/>
      <c r="BZ168" s="240"/>
      <c r="CA168" s="240"/>
      <c r="CB168" s="240"/>
      <c r="CC168" s="240"/>
      <c r="CD168" s="240"/>
      <c r="CE168" s="240"/>
      <c r="CF168" s="240"/>
      <c r="CG168" s="240"/>
      <c r="CH168" s="240"/>
      <c r="CI168" s="240"/>
      <c r="CJ168" s="240"/>
      <c r="CK168" s="240"/>
      <c r="CL168" s="240"/>
      <c r="CM168" s="240"/>
      <c r="CN168" s="240"/>
      <c r="CO168" s="240"/>
      <c r="CP168" s="240"/>
      <c r="CQ168" s="240"/>
      <c r="CR168" s="240"/>
      <c r="CS168" s="240"/>
      <c r="CT168" s="240"/>
      <c r="CU168" s="240"/>
      <c r="CV168" s="240"/>
      <c r="CW168" s="240"/>
      <c r="CX168" s="240"/>
      <c r="CY168" s="240"/>
      <c r="CZ168" s="240"/>
      <c r="DA168" s="240"/>
      <c r="DB168" s="240"/>
      <c r="DC168" s="240"/>
      <c r="DD168" s="240"/>
      <c r="DE168" s="240"/>
      <c r="DF168" s="240"/>
      <c r="DG168" s="240"/>
      <c r="DH168" s="240"/>
      <c r="DI168" s="240"/>
      <c r="DJ168" s="240"/>
      <c r="DK168" s="240"/>
      <c r="DL168" s="240"/>
      <c r="DM168" s="240"/>
      <c r="DN168" s="240"/>
      <c r="DO168" s="240"/>
      <c r="DP168" s="240"/>
      <c r="DQ168" s="240"/>
      <c r="DR168" s="240"/>
      <c r="DS168" s="240"/>
      <c r="DT168" s="240"/>
      <c r="DU168" s="240"/>
      <c r="DV168" s="240"/>
      <c r="DW168" s="240"/>
      <c r="DX168" s="240"/>
      <c r="DY168" s="240"/>
      <c r="DZ168" s="240"/>
      <c r="EA168" s="240"/>
      <c r="EB168" s="240"/>
      <c r="EC168" s="240"/>
      <c r="ED168" s="240"/>
      <c r="EE168" s="240"/>
      <c r="EF168" s="240"/>
      <c r="EG168" s="240"/>
      <c r="EH168" s="240"/>
      <c r="EI168" s="240"/>
      <c r="EJ168" s="240"/>
      <c r="EK168" s="240"/>
      <c r="EL168" s="240"/>
      <c r="EM168" s="240"/>
      <c r="EN168" s="240"/>
      <c r="EO168" s="240"/>
      <c r="EP168" s="240"/>
      <c r="EQ168" s="240"/>
      <c r="ER168" s="240"/>
      <c r="ES168" s="240"/>
      <c r="ET168" s="240"/>
      <c r="EU168" s="240"/>
      <c r="EV168" s="240"/>
      <c r="EW168" s="240"/>
      <c r="EX168" s="240"/>
      <c r="EY168" s="240"/>
      <c r="EZ168" s="240"/>
      <c r="FA168" s="240"/>
      <c r="FB168" s="240"/>
      <c r="FC168" s="240"/>
      <c r="FD168" s="240"/>
      <c r="FE168" s="240"/>
      <c r="FF168" s="240"/>
      <c r="FG168" s="240"/>
      <c r="FH168" s="240"/>
      <c r="FI168" s="240"/>
      <c r="FJ168" s="240"/>
      <c r="FK168" s="240"/>
      <c r="FL168" s="240"/>
      <c r="FM168" s="240"/>
      <c r="FN168" s="240"/>
      <c r="FO168" s="240"/>
      <c r="FP168" s="240"/>
      <c r="FQ168" s="240"/>
      <c r="FR168" s="240"/>
      <c r="FS168" s="240"/>
      <c r="FT168" s="240"/>
      <c r="FU168" s="240"/>
      <c r="FV168" s="240"/>
      <c r="FW168" s="240"/>
      <c r="FX168" s="240"/>
      <c r="FY168" s="240"/>
      <c r="FZ168" s="240"/>
      <c r="GA168" s="240"/>
      <c r="GB168" s="240"/>
      <c r="GC168" s="240"/>
      <c r="GD168" s="240"/>
      <c r="GE168" s="240"/>
      <c r="GF168" s="240"/>
      <c r="GG168" s="240"/>
      <c r="GH168" s="240"/>
      <c r="GI168" s="240"/>
      <c r="GJ168" s="240"/>
      <c r="GK168" s="240"/>
      <c r="GL168" s="240"/>
      <c r="GM168" s="240"/>
      <c r="GN168" s="240"/>
      <c r="GO168" s="240"/>
      <c r="GP168" s="240"/>
      <c r="GQ168" s="240"/>
      <c r="GR168" s="240"/>
      <c r="GS168" s="240"/>
      <c r="GT168" s="240"/>
      <c r="GU168" s="240"/>
      <c r="GV168" s="240"/>
      <c r="GW168" s="240"/>
      <c r="GX168" s="240"/>
      <c r="GY168" s="240"/>
      <c r="GZ168" s="240"/>
      <c r="HA168" s="240"/>
      <c r="HB168" s="240"/>
      <c r="HC168" s="240"/>
      <c r="HD168" s="240"/>
      <c r="HE168" s="240"/>
      <c r="HF168" s="240"/>
      <c r="HG168" s="240"/>
      <c r="HH168" s="240"/>
      <c r="HI168" s="240"/>
      <c r="HJ168" s="240"/>
      <c r="HK168" s="240"/>
      <c r="HL168" s="240"/>
      <c r="HM168" s="240"/>
      <c r="HN168" s="240"/>
      <c r="HO168" s="240"/>
      <c r="HP168" s="240"/>
      <c r="HQ168" s="240"/>
      <c r="HR168" s="240"/>
      <c r="HS168" s="240"/>
      <c r="HT168" s="240"/>
      <c r="HU168" s="240"/>
      <c r="HV168" s="240"/>
      <c r="HW168" s="240"/>
      <c r="HX168" s="240"/>
      <c r="HY168" s="240"/>
      <c r="HZ168" s="240"/>
      <c r="IA168" s="240"/>
      <c r="IB168" s="240"/>
      <c r="IC168" s="240"/>
      <c r="ID168" s="240"/>
      <c r="IE168" s="240"/>
      <c r="IF168" s="240"/>
      <c r="IG168" s="240"/>
      <c r="IH168" s="240"/>
      <c r="II168" s="240"/>
      <c r="IJ168" s="240"/>
      <c r="IK168" s="240"/>
      <c r="IL168" s="240"/>
      <c r="IM168" s="240"/>
      <c r="IN168" s="240"/>
      <c r="IO168" s="240"/>
      <c r="IP168" s="240"/>
      <c r="IQ168" s="240"/>
      <c r="IR168" s="240"/>
      <c r="IS168" s="240"/>
      <c r="IT168" s="240"/>
      <c r="IU168" s="240"/>
      <c r="IV168" s="240"/>
      <c r="IW168" s="240"/>
      <c r="IX168" s="240"/>
      <c r="IY168" s="240"/>
      <c r="IZ168" s="240"/>
      <c r="JA168" s="240"/>
      <c r="JB168" s="240"/>
      <c r="JC168" s="240"/>
      <c r="JD168" s="240"/>
      <c r="JE168" s="240"/>
      <c r="JF168" s="240"/>
      <c r="JG168" s="240"/>
      <c r="JH168" s="240"/>
      <c r="JI168" s="240"/>
      <c r="JJ168" s="240"/>
      <c r="JK168" s="240"/>
      <c r="JL168" s="240"/>
      <c r="JM168" s="240"/>
      <c r="JN168" s="240"/>
      <c r="JO168" s="240"/>
      <c r="JP168" s="240"/>
      <c r="JQ168" s="240"/>
      <c r="JR168" s="240"/>
      <c r="JS168" s="240"/>
      <c r="JT168" s="240"/>
      <c r="JU168" s="240"/>
      <c r="JV168" s="240"/>
      <c r="JW168" s="240"/>
      <c r="JX168" s="240"/>
      <c r="JY168" s="240"/>
      <c r="JZ168" s="240"/>
      <c r="KA168" s="240"/>
      <c r="KB168" s="240"/>
      <c r="KC168" s="240"/>
      <c r="KD168" s="240"/>
      <c r="KE168" s="240"/>
      <c r="KF168" s="240"/>
      <c r="KG168" s="240"/>
      <c r="KH168" s="240"/>
      <c r="KI168" s="240"/>
      <c r="KJ168" s="240"/>
      <c r="KK168" s="240"/>
      <c r="KL168" s="240"/>
      <c r="KM168" s="240"/>
      <c r="KN168" s="240"/>
      <c r="KO168" s="240"/>
      <c r="KP168" s="240"/>
      <c r="KQ168" s="240"/>
      <c r="KR168" s="240"/>
      <c r="KS168" s="240"/>
      <c r="KT168" s="240"/>
      <c r="KU168" s="240"/>
      <c r="KV168" s="240"/>
      <c r="KW168" s="240"/>
      <c r="KX168" s="240"/>
      <c r="KY168" s="240"/>
      <c r="KZ168" s="240"/>
      <c r="LA168" s="240"/>
      <c r="LB168" s="240"/>
      <c r="LC168" s="240"/>
      <c r="LD168" s="240"/>
      <c r="LE168" s="240"/>
      <c r="LF168" s="240"/>
      <c r="LG168" s="240"/>
      <c r="LH168" s="240"/>
      <c r="LI168" s="240"/>
      <c r="LJ168" s="240"/>
      <c r="LK168" s="240"/>
      <c r="LL168" s="240"/>
      <c r="LM168" s="240"/>
      <c r="LN168" s="240"/>
      <c r="LO168" s="240"/>
      <c r="LP168" s="240"/>
      <c r="LQ168" s="240"/>
      <c r="LR168" s="240"/>
      <c r="LS168" s="240"/>
      <c r="LT168" s="240"/>
      <c r="LU168" s="240"/>
      <c r="LV168" s="240"/>
      <c r="LW168" s="240"/>
      <c r="LX168" s="240"/>
      <c r="LY168" s="240"/>
      <c r="LZ168" s="240"/>
      <c r="MA168" s="240"/>
      <c r="MB168" s="240"/>
      <c r="MC168" s="240"/>
      <c r="MD168" s="240"/>
      <c r="ME168" s="240"/>
      <c r="MF168" s="240"/>
      <c r="MG168" s="240"/>
      <c r="MH168" s="240"/>
      <c r="MI168" s="240"/>
      <c r="MJ168" s="240"/>
      <c r="MK168" s="240"/>
      <c r="ML168" s="240"/>
      <c r="MM168" s="240"/>
      <c r="MN168" s="240"/>
      <c r="MO168" s="240"/>
      <c r="MP168" s="240"/>
      <c r="MQ168" s="240"/>
      <c r="MR168" s="240"/>
      <c r="MS168" s="240"/>
      <c r="MT168" s="240"/>
      <c r="MU168" s="240"/>
      <c r="MV168" s="240"/>
      <c r="MW168" s="240"/>
      <c r="MX168" s="240"/>
      <c r="MY168" s="240"/>
      <c r="MZ168" s="240"/>
      <c r="NA168" s="240"/>
      <c r="NB168" s="240"/>
      <c r="NC168" s="240"/>
      <c r="ND168" s="240"/>
      <c r="NE168" s="240"/>
      <c r="NF168" s="240"/>
      <c r="NG168" s="240"/>
      <c r="NH168" s="240"/>
      <c r="NI168" s="240"/>
      <c r="NJ168" s="240"/>
      <c r="NK168" s="240"/>
      <c r="NL168" s="240"/>
      <c r="NM168" s="240"/>
      <c r="NN168" s="240"/>
      <c r="NO168" s="240"/>
      <c r="NP168" s="240"/>
      <c r="NQ168" s="240"/>
      <c r="NR168" s="240"/>
      <c r="NS168" s="240"/>
      <c r="NT168" s="240"/>
      <c r="NU168" s="240"/>
      <c r="NV168" s="240"/>
      <c r="NW168" s="240"/>
      <c r="NX168" s="240"/>
      <c r="NY168" s="240"/>
      <c r="NZ168" s="240"/>
      <c r="OA168" s="240"/>
      <c r="OB168" s="240"/>
      <c r="OC168" s="240"/>
      <c r="OD168" s="240"/>
      <c r="OE168" s="240"/>
      <c r="OF168" s="240"/>
      <c r="OG168" s="240"/>
      <c r="OH168" s="240"/>
      <c r="OI168" s="240"/>
      <c r="OJ168" s="240"/>
      <c r="OK168" s="240"/>
      <c r="OL168" s="240"/>
      <c r="OM168" s="240"/>
      <c r="ON168" s="240"/>
      <c r="OO168" s="240"/>
      <c r="OP168" s="240"/>
      <c r="OQ168" s="240"/>
      <c r="OR168" s="240"/>
      <c r="OS168" s="240"/>
      <c r="OT168" s="240"/>
      <c r="OU168" s="240"/>
      <c r="OV168" s="240"/>
      <c r="OW168" s="240"/>
      <c r="OX168" s="240"/>
      <c r="OY168" s="240"/>
      <c r="OZ168" s="240"/>
      <c r="PA168" s="240"/>
      <c r="PB168" s="240"/>
      <c r="PC168" s="240"/>
      <c r="PD168" s="240"/>
      <c r="PE168" s="240"/>
      <c r="PF168" s="240"/>
      <c r="PG168" s="240"/>
      <c r="PH168" s="240"/>
      <c r="PI168" s="240"/>
      <c r="PJ168" s="240"/>
      <c r="PK168" s="240"/>
      <c r="PL168" s="240"/>
      <c r="PM168" s="240"/>
      <c r="PN168" s="240"/>
      <c r="PO168" s="240"/>
      <c r="PP168" s="240"/>
      <c r="PQ168" s="240"/>
      <c r="PR168" s="240"/>
      <c r="PS168" s="240"/>
      <c r="PT168" s="240"/>
      <c r="PU168" s="240"/>
      <c r="PV168" s="240"/>
      <c r="PW168" s="240"/>
      <c r="PX168" s="240"/>
      <c r="PY168" s="240"/>
      <c r="PZ168" s="240"/>
      <c r="QA168" s="240"/>
      <c r="QB168" s="240"/>
      <c r="QC168" s="240"/>
      <c r="QD168" s="240"/>
      <c r="QE168" s="240"/>
      <c r="QF168" s="240"/>
      <c r="QG168" s="240"/>
      <c r="QH168" s="240"/>
      <c r="QI168" s="240"/>
      <c r="QJ168" s="240"/>
      <c r="QK168" s="240"/>
      <c r="QL168" s="240"/>
      <c r="QM168" s="240"/>
      <c r="QN168" s="240"/>
      <c r="QO168" s="240"/>
      <c r="QP168" s="240"/>
      <c r="QQ168" s="240"/>
      <c r="QR168" s="240"/>
      <c r="QS168" s="240"/>
      <c r="QT168" s="240"/>
      <c r="QU168" s="240"/>
      <c r="QV168" s="240"/>
      <c r="QW168" s="240"/>
      <c r="QX168" s="240"/>
      <c r="QY168" s="240"/>
      <c r="QZ168" s="240"/>
      <c r="RA168" s="240"/>
      <c r="RB168" s="240"/>
      <c r="RC168" s="240"/>
      <c r="RD168" s="240"/>
      <c r="RE168" s="240"/>
      <c r="RF168" s="240"/>
      <c r="RG168" s="240"/>
      <c r="RH168" s="240"/>
      <c r="RI168" s="240"/>
      <c r="RJ168" s="240"/>
      <c r="RK168" s="240"/>
      <c r="RL168" s="240"/>
      <c r="RM168" s="240"/>
      <c r="RN168" s="240"/>
      <c r="RO168" s="240"/>
      <c r="RP168" s="240"/>
      <c r="RQ168" s="240"/>
      <c r="RR168" s="240"/>
      <c r="RS168" s="240"/>
      <c r="RT168" s="240"/>
      <c r="RU168" s="240"/>
      <c r="RV168" s="240"/>
      <c r="RW168" s="240"/>
      <c r="RX168" s="240"/>
      <c r="RY168" s="240"/>
      <c r="RZ168" s="240"/>
      <c r="SA168" s="240"/>
      <c r="SB168" s="240"/>
      <c r="SC168" s="240"/>
      <c r="SD168" s="240"/>
      <c r="SE168" s="240"/>
      <c r="SF168" s="240"/>
      <c r="SG168" s="240"/>
      <c r="SH168" s="240"/>
      <c r="SI168" s="240"/>
      <c r="SJ168" s="240"/>
      <c r="SK168" s="240"/>
      <c r="SL168" s="240"/>
      <c r="SM168" s="240"/>
      <c r="SN168" s="240"/>
      <c r="SO168" s="240"/>
      <c r="SP168" s="240"/>
      <c r="SQ168" s="240"/>
      <c r="SR168" s="240"/>
      <c r="SS168" s="240"/>
      <c r="ST168" s="240"/>
      <c r="SU168" s="240"/>
      <c r="SV168" s="240"/>
      <c r="SW168" s="240"/>
      <c r="SX168" s="240"/>
      <c r="SY168" s="240"/>
      <c r="SZ168" s="240"/>
      <c r="TA168" s="240"/>
      <c r="TB168" s="240"/>
      <c r="TC168" s="240"/>
      <c r="TD168" s="240"/>
      <c r="TE168" s="240"/>
      <c r="TF168" s="240"/>
      <c r="TG168" s="240"/>
      <c r="TH168" s="240"/>
      <c r="TI168" s="240"/>
      <c r="TJ168" s="240"/>
      <c r="TK168" s="240"/>
      <c r="TL168" s="240"/>
      <c r="TM168" s="240"/>
      <c r="TN168" s="240"/>
      <c r="TO168" s="240"/>
      <c r="TP168" s="240"/>
      <c r="TQ168" s="240"/>
      <c r="TR168" s="240"/>
      <c r="TS168" s="240"/>
      <c r="TT168" s="240"/>
      <c r="TU168" s="240"/>
    </row>
    <row r="169" spans="1:541" s="269" customFormat="1" outlineLevel="1" x14ac:dyDescent="0.25">
      <c r="A169" s="237">
        <v>34</v>
      </c>
      <c r="B169" s="238" t="s">
        <v>1075</v>
      </c>
      <c r="C169" s="222" t="s">
        <v>668</v>
      </c>
      <c r="D169" s="222" t="s">
        <v>1053</v>
      </c>
      <c r="E169" s="222" t="s">
        <v>100</v>
      </c>
      <c r="F169" s="223" t="s">
        <v>0</v>
      </c>
      <c r="G169" s="323" t="s">
        <v>792</v>
      </c>
      <c r="H169" s="223" t="s">
        <v>1167</v>
      </c>
      <c r="I169" s="222"/>
      <c r="J169" s="223" t="s">
        <v>1056</v>
      </c>
      <c r="K169" s="222"/>
      <c r="L169" s="222"/>
      <c r="M169" s="223"/>
      <c r="N169" s="222" t="s">
        <v>1159</v>
      </c>
      <c r="O169" s="222" t="s">
        <v>1160</v>
      </c>
      <c r="P169" s="222" t="s">
        <v>1156</v>
      </c>
      <c r="Q169" s="239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  <c r="AK169" s="240"/>
      <c r="AL169" s="240"/>
      <c r="AM169" s="240"/>
      <c r="AN169" s="240"/>
      <c r="AO169" s="240"/>
      <c r="AP169" s="240"/>
      <c r="AQ169" s="240"/>
      <c r="AR169" s="240"/>
      <c r="AS169" s="240"/>
      <c r="AT169" s="240"/>
      <c r="AU169" s="240"/>
      <c r="AV169" s="240"/>
      <c r="AW169" s="240"/>
      <c r="AX169" s="240"/>
      <c r="AY169" s="240"/>
      <c r="AZ169" s="240"/>
      <c r="BA169" s="240"/>
      <c r="BB169" s="240"/>
      <c r="BC169" s="240"/>
      <c r="BD169" s="240"/>
      <c r="BE169" s="240"/>
      <c r="BF169" s="240"/>
      <c r="BG169" s="240"/>
      <c r="BH169" s="240"/>
      <c r="BI169" s="240"/>
      <c r="BJ169" s="240"/>
      <c r="BK169" s="240"/>
      <c r="BL169" s="240"/>
      <c r="BM169" s="240"/>
      <c r="BN169" s="240"/>
      <c r="BO169" s="240"/>
      <c r="BP169" s="240"/>
      <c r="BQ169" s="240"/>
      <c r="BR169" s="240"/>
      <c r="BS169" s="240"/>
      <c r="BT169" s="240"/>
      <c r="BU169" s="240"/>
      <c r="BV169" s="240"/>
      <c r="BW169" s="240"/>
      <c r="BX169" s="240"/>
      <c r="BY169" s="240"/>
      <c r="BZ169" s="240"/>
      <c r="CA169" s="240"/>
      <c r="CB169" s="240"/>
      <c r="CC169" s="240"/>
      <c r="CD169" s="240"/>
      <c r="CE169" s="240"/>
      <c r="CF169" s="240"/>
      <c r="CG169" s="240"/>
      <c r="CH169" s="240"/>
      <c r="CI169" s="240"/>
      <c r="CJ169" s="240"/>
      <c r="CK169" s="240"/>
      <c r="CL169" s="240"/>
      <c r="CM169" s="240"/>
      <c r="CN169" s="240"/>
      <c r="CO169" s="240"/>
      <c r="CP169" s="240"/>
      <c r="CQ169" s="240"/>
      <c r="CR169" s="240"/>
      <c r="CS169" s="240"/>
      <c r="CT169" s="240"/>
      <c r="CU169" s="240"/>
      <c r="CV169" s="240"/>
      <c r="CW169" s="240"/>
      <c r="CX169" s="240"/>
      <c r="CY169" s="240"/>
      <c r="CZ169" s="240"/>
      <c r="DA169" s="240"/>
      <c r="DB169" s="240"/>
      <c r="DC169" s="240"/>
      <c r="DD169" s="240"/>
      <c r="DE169" s="240"/>
      <c r="DF169" s="240"/>
      <c r="DG169" s="240"/>
      <c r="DH169" s="240"/>
      <c r="DI169" s="240"/>
      <c r="DJ169" s="240"/>
      <c r="DK169" s="240"/>
      <c r="DL169" s="240"/>
      <c r="DM169" s="240"/>
      <c r="DN169" s="240"/>
      <c r="DO169" s="240"/>
      <c r="DP169" s="240"/>
      <c r="DQ169" s="240"/>
      <c r="DR169" s="240"/>
      <c r="DS169" s="240"/>
      <c r="DT169" s="240"/>
      <c r="DU169" s="240"/>
      <c r="DV169" s="240"/>
      <c r="DW169" s="240"/>
      <c r="DX169" s="240"/>
      <c r="DY169" s="240"/>
      <c r="DZ169" s="240"/>
      <c r="EA169" s="240"/>
      <c r="EB169" s="240"/>
      <c r="EC169" s="240"/>
      <c r="ED169" s="240"/>
      <c r="EE169" s="240"/>
      <c r="EF169" s="240"/>
      <c r="EG169" s="240"/>
      <c r="EH169" s="240"/>
      <c r="EI169" s="240"/>
      <c r="EJ169" s="240"/>
      <c r="EK169" s="240"/>
      <c r="EL169" s="240"/>
      <c r="EM169" s="240"/>
      <c r="EN169" s="240"/>
      <c r="EO169" s="240"/>
      <c r="EP169" s="240"/>
      <c r="EQ169" s="240"/>
      <c r="ER169" s="240"/>
      <c r="ES169" s="240"/>
      <c r="ET169" s="240"/>
      <c r="EU169" s="240"/>
      <c r="EV169" s="240"/>
      <c r="EW169" s="240"/>
      <c r="EX169" s="240"/>
      <c r="EY169" s="240"/>
      <c r="EZ169" s="240"/>
      <c r="FA169" s="240"/>
      <c r="FB169" s="240"/>
      <c r="FC169" s="240"/>
      <c r="FD169" s="240"/>
      <c r="FE169" s="240"/>
      <c r="FF169" s="240"/>
      <c r="FG169" s="240"/>
      <c r="FH169" s="240"/>
      <c r="FI169" s="240"/>
      <c r="FJ169" s="240"/>
      <c r="FK169" s="240"/>
      <c r="FL169" s="240"/>
      <c r="FM169" s="240"/>
      <c r="FN169" s="240"/>
      <c r="FO169" s="240"/>
      <c r="FP169" s="240"/>
      <c r="FQ169" s="240"/>
      <c r="FR169" s="240"/>
      <c r="FS169" s="240"/>
      <c r="FT169" s="240"/>
      <c r="FU169" s="240"/>
      <c r="FV169" s="240"/>
      <c r="FW169" s="240"/>
      <c r="FX169" s="240"/>
      <c r="FY169" s="240"/>
      <c r="FZ169" s="240"/>
      <c r="GA169" s="240"/>
      <c r="GB169" s="240"/>
      <c r="GC169" s="240"/>
      <c r="GD169" s="240"/>
      <c r="GE169" s="240"/>
      <c r="GF169" s="240"/>
      <c r="GG169" s="240"/>
      <c r="GH169" s="240"/>
      <c r="GI169" s="240"/>
      <c r="GJ169" s="240"/>
      <c r="GK169" s="240"/>
      <c r="GL169" s="240"/>
      <c r="GM169" s="240"/>
      <c r="GN169" s="240"/>
      <c r="GO169" s="240"/>
      <c r="GP169" s="240"/>
      <c r="GQ169" s="240"/>
      <c r="GR169" s="240"/>
      <c r="GS169" s="240"/>
      <c r="GT169" s="240"/>
      <c r="GU169" s="240"/>
      <c r="GV169" s="240"/>
      <c r="GW169" s="240"/>
      <c r="GX169" s="240"/>
      <c r="GY169" s="240"/>
      <c r="GZ169" s="240"/>
      <c r="HA169" s="240"/>
      <c r="HB169" s="240"/>
      <c r="HC169" s="240"/>
      <c r="HD169" s="240"/>
      <c r="HE169" s="240"/>
      <c r="HF169" s="240"/>
      <c r="HG169" s="240"/>
      <c r="HH169" s="240"/>
      <c r="HI169" s="240"/>
      <c r="HJ169" s="240"/>
      <c r="HK169" s="240"/>
      <c r="HL169" s="240"/>
      <c r="HM169" s="240"/>
      <c r="HN169" s="240"/>
      <c r="HO169" s="240"/>
      <c r="HP169" s="240"/>
      <c r="HQ169" s="240"/>
      <c r="HR169" s="240"/>
      <c r="HS169" s="240"/>
      <c r="HT169" s="240"/>
      <c r="HU169" s="240"/>
      <c r="HV169" s="240"/>
      <c r="HW169" s="240"/>
      <c r="HX169" s="240"/>
      <c r="HY169" s="240"/>
      <c r="HZ169" s="240"/>
      <c r="IA169" s="240"/>
      <c r="IB169" s="240"/>
      <c r="IC169" s="240"/>
      <c r="ID169" s="240"/>
      <c r="IE169" s="240"/>
      <c r="IF169" s="240"/>
      <c r="IG169" s="240"/>
      <c r="IH169" s="240"/>
      <c r="II169" s="240"/>
      <c r="IJ169" s="240"/>
      <c r="IK169" s="240"/>
      <c r="IL169" s="240"/>
      <c r="IM169" s="240"/>
      <c r="IN169" s="240"/>
      <c r="IO169" s="240"/>
      <c r="IP169" s="240"/>
      <c r="IQ169" s="240"/>
      <c r="IR169" s="240"/>
      <c r="IS169" s="240"/>
      <c r="IT169" s="240"/>
      <c r="IU169" s="240"/>
      <c r="IV169" s="240"/>
      <c r="IW169" s="240"/>
      <c r="IX169" s="240"/>
      <c r="IY169" s="240"/>
      <c r="IZ169" s="240"/>
      <c r="JA169" s="240"/>
      <c r="JB169" s="240"/>
      <c r="JC169" s="240"/>
      <c r="JD169" s="240"/>
      <c r="JE169" s="240"/>
      <c r="JF169" s="240"/>
      <c r="JG169" s="240"/>
      <c r="JH169" s="240"/>
      <c r="JI169" s="240"/>
      <c r="JJ169" s="240"/>
      <c r="JK169" s="240"/>
      <c r="JL169" s="240"/>
      <c r="JM169" s="240"/>
      <c r="JN169" s="240"/>
      <c r="JO169" s="240"/>
      <c r="JP169" s="240"/>
      <c r="JQ169" s="240"/>
      <c r="JR169" s="240"/>
      <c r="JS169" s="240"/>
      <c r="JT169" s="240"/>
      <c r="JU169" s="240"/>
      <c r="JV169" s="240"/>
      <c r="JW169" s="240"/>
      <c r="JX169" s="240"/>
      <c r="JY169" s="240"/>
      <c r="JZ169" s="240"/>
      <c r="KA169" s="240"/>
      <c r="KB169" s="240"/>
      <c r="KC169" s="240"/>
      <c r="KD169" s="240"/>
      <c r="KE169" s="240"/>
      <c r="KF169" s="240"/>
      <c r="KG169" s="240"/>
      <c r="KH169" s="240"/>
      <c r="KI169" s="240"/>
      <c r="KJ169" s="240"/>
      <c r="KK169" s="240"/>
      <c r="KL169" s="240"/>
      <c r="KM169" s="240"/>
      <c r="KN169" s="240"/>
      <c r="KO169" s="240"/>
      <c r="KP169" s="240"/>
      <c r="KQ169" s="240"/>
      <c r="KR169" s="240"/>
      <c r="KS169" s="240"/>
      <c r="KT169" s="240"/>
      <c r="KU169" s="240"/>
      <c r="KV169" s="240"/>
      <c r="KW169" s="240"/>
      <c r="KX169" s="240"/>
      <c r="KY169" s="240"/>
      <c r="KZ169" s="240"/>
      <c r="LA169" s="240"/>
      <c r="LB169" s="240"/>
      <c r="LC169" s="240"/>
      <c r="LD169" s="240"/>
      <c r="LE169" s="240"/>
      <c r="LF169" s="240"/>
      <c r="LG169" s="240"/>
      <c r="LH169" s="240"/>
      <c r="LI169" s="240"/>
      <c r="LJ169" s="240"/>
      <c r="LK169" s="240"/>
      <c r="LL169" s="240"/>
      <c r="LM169" s="240"/>
      <c r="LN169" s="240"/>
      <c r="LO169" s="240"/>
      <c r="LP169" s="240"/>
      <c r="LQ169" s="240"/>
      <c r="LR169" s="240"/>
      <c r="LS169" s="240"/>
      <c r="LT169" s="240"/>
      <c r="LU169" s="240"/>
      <c r="LV169" s="240"/>
      <c r="LW169" s="240"/>
      <c r="LX169" s="240"/>
      <c r="LY169" s="240"/>
      <c r="LZ169" s="240"/>
      <c r="MA169" s="240"/>
      <c r="MB169" s="240"/>
      <c r="MC169" s="240"/>
      <c r="MD169" s="240"/>
      <c r="ME169" s="240"/>
      <c r="MF169" s="240"/>
      <c r="MG169" s="240"/>
      <c r="MH169" s="240"/>
      <c r="MI169" s="240"/>
      <c r="MJ169" s="240"/>
      <c r="MK169" s="240"/>
      <c r="ML169" s="240"/>
      <c r="MM169" s="240"/>
      <c r="MN169" s="240"/>
      <c r="MO169" s="240"/>
      <c r="MP169" s="240"/>
      <c r="MQ169" s="240"/>
      <c r="MR169" s="240"/>
      <c r="MS169" s="240"/>
      <c r="MT169" s="240"/>
      <c r="MU169" s="240"/>
      <c r="MV169" s="240"/>
      <c r="MW169" s="240"/>
      <c r="MX169" s="240"/>
      <c r="MY169" s="240"/>
      <c r="MZ169" s="240"/>
      <c r="NA169" s="240"/>
      <c r="NB169" s="240"/>
      <c r="NC169" s="240"/>
      <c r="ND169" s="240"/>
      <c r="NE169" s="240"/>
      <c r="NF169" s="240"/>
      <c r="NG169" s="240"/>
      <c r="NH169" s="240"/>
      <c r="NI169" s="240"/>
      <c r="NJ169" s="240"/>
      <c r="NK169" s="240"/>
      <c r="NL169" s="240"/>
      <c r="NM169" s="240"/>
      <c r="NN169" s="240"/>
      <c r="NO169" s="240"/>
      <c r="NP169" s="240"/>
      <c r="NQ169" s="240"/>
      <c r="NR169" s="240"/>
      <c r="NS169" s="240"/>
      <c r="NT169" s="240"/>
      <c r="NU169" s="240"/>
      <c r="NV169" s="240"/>
      <c r="NW169" s="240"/>
      <c r="NX169" s="240"/>
      <c r="NY169" s="240"/>
      <c r="NZ169" s="240"/>
      <c r="OA169" s="240"/>
      <c r="OB169" s="240"/>
      <c r="OC169" s="240"/>
      <c r="OD169" s="240"/>
      <c r="OE169" s="240"/>
      <c r="OF169" s="240"/>
      <c r="OG169" s="240"/>
      <c r="OH169" s="240"/>
      <c r="OI169" s="240"/>
      <c r="OJ169" s="240"/>
      <c r="OK169" s="240"/>
      <c r="OL169" s="240"/>
      <c r="OM169" s="240"/>
      <c r="ON169" s="240"/>
      <c r="OO169" s="240"/>
      <c r="OP169" s="240"/>
      <c r="OQ169" s="240"/>
      <c r="OR169" s="240"/>
      <c r="OS169" s="240"/>
      <c r="OT169" s="240"/>
      <c r="OU169" s="240"/>
      <c r="OV169" s="240"/>
      <c r="OW169" s="240"/>
      <c r="OX169" s="240"/>
      <c r="OY169" s="240"/>
      <c r="OZ169" s="240"/>
      <c r="PA169" s="240"/>
      <c r="PB169" s="240"/>
      <c r="PC169" s="240"/>
      <c r="PD169" s="240"/>
      <c r="PE169" s="240"/>
      <c r="PF169" s="240"/>
      <c r="PG169" s="240"/>
      <c r="PH169" s="240"/>
      <c r="PI169" s="240"/>
      <c r="PJ169" s="240"/>
      <c r="PK169" s="240"/>
      <c r="PL169" s="240"/>
      <c r="PM169" s="240"/>
      <c r="PN169" s="240"/>
      <c r="PO169" s="240"/>
      <c r="PP169" s="240"/>
      <c r="PQ169" s="240"/>
      <c r="PR169" s="240"/>
      <c r="PS169" s="240"/>
      <c r="PT169" s="240"/>
      <c r="PU169" s="240"/>
      <c r="PV169" s="240"/>
      <c r="PW169" s="240"/>
      <c r="PX169" s="240"/>
      <c r="PY169" s="240"/>
      <c r="PZ169" s="240"/>
      <c r="QA169" s="240"/>
      <c r="QB169" s="240"/>
      <c r="QC169" s="240"/>
      <c r="QD169" s="240"/>
      <c r="QE169" s="240"/>
      <c r="QF169" s="240"/>
      <c r="QG169" s="240"/>
      <c r="QH169" s="240"/>
      <c r="QI169" s="240"/>
      <c r="QJ169" s="240"/>
      <c r="QK169" s="240"/>
      <c r="QL169" s="240"/>
      <c r="QM169" s="240"/>
      <c r="QN169" s="240"/>
      <c r="QO169" s="240"/>
      <c r="QP169" s="240"/>
      <c r="QQ169" s="240"/>
      <c r="QR169" s="240"/>
      <c r="QS169" s="240"/>
      <c r="QT169" s="240"/>
      <c r="QU169" s="240"/>
      <c r="QV169" s="240"/>
      <c r="QW169" s="240"/>
      <c r="QX169" s="240"/>
      <c r="QY169" s="240"/>
      <c r="QZ169" s="240"/>
      <c r="RA169" s="240"/>
      <c r="RB169" s="240"/>
      <c r="RC169" s="240"/>
      <c r="RD169" s="240"/>
      <c r="RE169" s="240"/>
      <c r="RF169" s="240"/>
      <c r="RG169" s="240"/>
      <c r="RH169" s="240"/>
      <c r="RI169" s="240"/>
      <c r="RJ169" s="240"/>
      <c r="RK169" s="240"/>
      <c r="RL169" s="240"/>
      <c r="RM169" s="240"/>
      <c r="RN169" s="240"/>
      <c r="RO169" s="240"/>
      <c r="RP169" s="240"/>
      <c r="RQ169" s="240"/>
      <c r="RR169" s="240"/>
      <c r="RS169" s="240"/>
      <c r="RT169" s="240"/>
      <c r="RU169" s="240"/>
      <c r="RV169" s="240"/>
      <c r="RW169" s="240"/>
      <c r="RX169" s="240"/>
      <c r="RY169" s="240"/>
      <c r="RZ169" s="240"/>
      <c r="SA169" s="240"/>
      <c r="SB169" s="240"/>
      <c r="SC169" s="240"/>
      <c r="SD169" s="240"/>
      <c r="SE169" s="240"/>
      <c r="SF169" s="240"/>
      <c r="SG169" s="240"/>
      <c r="SH169" s="240"/>
      <c r="SI169" s="240"/>
      <c r="SJ169" s="240"/>
      <c r="SK169" s="240"/>
      <c r="SL169" s="240"/>
      <c r="SM169" s="240"/>
      <c r="SN169" s="240"/>
      <c r="SO169" s="240"/>
      <c r="SP169" s="240"/>
      <c r="SQ169" s="240"/>
      <c r="SR169" s="240"/>
      <c r="SS169" s="240"/>
      <c r="ST169" s="240"/>
      <c r="SU169" s="240"/>
      <c r="SV169" s="240"/>
      <c r="SW169" s="240"/>
      <c r="SX169" s="240"/>
      <c r="SY169" s="240"/>
      <c r="SZ169" s="240"/>
      <c r="TA169" s="240"/>
      <c r="TB169" s="240"/>
      <c r="TC169" s="240"/>
      <c r="TD169" s="240"/>
      <c r="TE169" s="240"/>
      <c r="TF169" s="240"/>
      <c r="TG169" s="240"/>
      <c r="TH169" s="240"/>
      <c r="TI169" s="240"/>
      <c r="TJ169" s="240"/>
      <c r="TK169" s="240"/>
      <c r="TL169" s="240"/>
      <c r="TM169" s="240"/>
      <c r="TN169" s="240"/>
      <c r="TO169" s="240"/>
      <c r="TP169" s="240"/>
      <c r="TQ169" s="240"/>
      <c r="TR169" s="240"/>
      <c r="TS169" s="240"/>
      <c r="TT169" s="240"/>
      <c r="TU169" s="240"/>
    </row>
    <row r="170" spans="1:541" s="269" customFormat="1" outlineLevel="1" x14ac:dyDescent="0.25">
      <c r="A170" s="237">
        <v>35</v>
      </c>
      <c r="B170" s="238" t="s">
        <v>1075</v>
      </c>
      <c r="C170" s="222" t="s">
        <v>668</v>
      </c>
      <c r="D170" s="222" t="s">
        <v>1054</v>
      </c>
      <c r="E170" s="222" t="s">
        <v>100</v>
      </c>
      <c r="F170" s="223" t="s">
        <v>0</v>
      </c>
      <c r="G170" s="323" t="s">
        <v>792</v>
      </c>
      <c r="H170" s="223" t="s">
        <v>1167</v>
      </c>
      <c r="I170" s="222"/>
      <c r="J170" s="223" t="s">
        <v>1056</v>
      </c>
      <c r="K170" s="222"/>
      <c r="L170" s="222"/>
      <c r="M170" s="223"/>
      <c r="N170" s="222" t="s">
        <v>1159</v>
      </c>
      <c r="O170" s="222" t="s">
        <v>1160</v>
      </c>
      <c r="P170" s="222" t="s">
        <v>1156</v>
      </c>
      <c r="Q170" s="239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40"/>
      <c r="BE170" s="240"/>
      <c r="BF170" s="240"/>
      <c r="BG170" s="240"/>
      <c r="BH170" s="240"/>
      <c r="BI170" s="240"/>
      <c r="BJ170" s="240"/>
      <c r="BK170" s="240"/>
      <c r="BL170" s="240"/>
      <c r="BM170" s="240"/>
      <c r="BN170" s="240"/>
      <c r="BO170" s="240"/>
      <c r="BP170" s="240"/>
      <c r="BQ170" s="240"/>
      <c r="BR170" s="240"/>
      <c r="BS170" s="240"/>
      <c r="BT170" s="240"/>
      <c r="BU170" s="240"/>
      <c r="BV170" s="240"/>
      <c r="BW170" s="240"/>
      <c r="BX170" s="240"/>
      <c r="BY170" s="240"/>
      <c r="BZ170" s="240"/>
      <c r="CA170" s="240"/>
      <c r="CB170" s="240"/>
      <c r="CC170" s="240"/>
      <c r="CD170" s="240"/>
      <c r="CE170" s="240"/>
      <c r="CF170" s="240"/>
      <c r="CG170" s="240"/>
      <c r="CH170" s="240"/>
      <c r="CI170" s="240"/>
      <c r="CJ170" s="240"/>
      <c r="CK170" s="240"/>
      <c r="CL170" s="240"/>
      <c r="CM170" s="240"/>
      <c r="CN170" s="240"/>
      <c r="CO170" s="240"/>
      <c r="CP170" s="240"/>
      <c r="CQ170" s="240"/>
      <c r="CR170" s="240"/>
      <c r="CS170" s="240"/>
      <c r="CT170" s="240"/>
      <c r="CU170" s="240"/>
      <c r="CV170" s="240"/>
      <c r="CW170" s="240"/>
      <c r="CX170" s="240"/>
      <c r="CY170" s="240"/>
      <c r="CZ170" s="240"/>
      <c r="DA170" s="240"/>
      <c r="DB170" s="240"/>
      <c r="DC170" s="240"/>
      <c r="DD170" s="240"/>
      <c r="DE170" s="240"/>
      <c r="DF170" s="240"/>
      <c r="DG170" s="240"/>
      <c r="DH170" s="240"/>
      <c r="DI170" s="240"/>
      <c r="DJ170" s="240"/>
      <c r="DK170" s="240"/>
      <c r="DL170" s="240"/>
      <c r="DM170" s="240"/>
      <c r="DN170" s="240"/>
      <c r="DO170" s="240"/>
      <c r="DP170" s="240"/>
      <c r="DQ170" s="240"/>
      <c r="DR170" s="240"/>
      <c r="DS170" s="240"/>
      <c r="DT170" s="240"/>
      <c r="DU170" s="240"/>
      <c r="DV170" s="240"/>
      <c r="DW170" s="240"/>
      <c r="DX170" s="240"/>
      <c r="DY170" s="240"/>
      <c r="DZ170" s="240"/>
      <c r="EA170" s="240"/>
      <c r="EB170" s="240"/>
      <c r="EC170" s="240"/>
      <c r="ED170" s="240"/>
      <c r="EE170" s="240"/>
      <c r="EF170" s="240"/>
      <c r="EG170" s="240"/>
      <c r="EH170" s="240"/>
      <c r="EI170" s="240"/>
      <c r="EJ170" s="240"/>
      <c r="EK170" s="240"/>
      <c r="EL170" s="240"/>
      <c r="EM170" s="240"/>
      <c r="EN170" s="240"/>
      <c r="EO170" s="240"/>
      <c r="EP170" s="240"/>
      <c r="EQ170" s="240"/>
      <c r="ER170" s="240"/>
      <c r="ES170" s="240"/>
      <c r="ET170" s="240"/>
      <c r="EU170" s="240"/>
      <c r="EV170" s="240"/>
      <c r="EW170" s="240"/>
      <c r="EX170" s="240"/>
      <c r="EY170" s="240"/>
      <c r="EZ170" s="240"/>
      <c r="FA170" s="240"/>
      <c r="FB170" s="240"/>
      <c r="FC170" s="240"/>
      <c r="FD170" s="240"/>
      <c r="FE170" s="240"/>
      <c r="FF170" s="240"/>
      <c r="FG170" s="240"/>
      <c r="FH170" s="240"/>
      <c r="FI170" s="240"/>
      <c r="FJ170" s="240"/>
      <c r="FK170" s="240"/>
      <c r="FL170" s="240"/>
      <c r="FM170" s="240"/>
      <c r="FN170" s="240"/>
      <c r="FO170" s="240"/>
      <c r="FP170" s="240"/>
      <c r="FQ170" s="240"/>
      <c r="FR170" s="240"/>
      <c r="FS170" s="240"/>
      <c r="FT170" s="240"/>
      <c r="FU170" s="240"/>
      <c r="FV170" s="240"/>
      <c r="FW170" s="240"/>
      <c r="FX170" s="240"/>
      <c r="FY170" s="240"/>
      <c r="FZ170" s="240"/>
      <c r="GA170" s="240"/>
      <c r="GB170" s="240"/>
      <c r="GC170" s="240"/>
      <c r="GD170" s="240"/>
      <c r="GE170" s="240"/>
      <c r="GF170" s="240"/>
      <c r="GG170" s="240"/>
      <c r="GH170" s="240"/>
      <c r="GI170" s="240"/>
      <c r="GJ170" s="240"/>
      <c r="GK170" s="240"/>
      <c r="GL170" s="240"/>
      <c r="GM170" s="240"/>
      <c r="GN170" s="240"/>
      <c r="GO170" s="240"/>
      <c r="GP170" s="240"/>
      <c r="GQ170" s="240"/>
      <c r="GR170" s="240"/>
      <c r="GS170" s="240"/>
      <c r="GT170" s="240"/>
      <c r="GU170" s="240"/>
      <c r="GV170" s="240"/>
      <c r="GW170" s="240"/>
      <c r="GX170" s="240"/>
      <c r="GY170" s="240"/>
      <c r="GZ170" s="240"/>
      <c r="HA170" s="240"/>
      <c r="HB170" s="240"/>
      <c r="HC170" s="240"/>
      <c r="HD170" s="240"/>
      <c r="HE170" s="240"/>
      <c r="HF170" s="240"/>
      <c r="HG170" s="240"/>
      <c r="HH170" s="240"/>
      <c r="HI170" s="240"/>
      <c r="HJ170" s="240"/>
      <c r="HK170" s="240"/>
      <c r="HL170" s="240"/>
      <c r="HM170" s="240"/>
      <c r="HN170" s="240"/>
      <c r="HO170" s="240"/>
      <c r="HP170" s="240"/>
      <c r="HQ170" s="240"/>
      <c r="HR170" s="240"/>
      <c r="HS170" s="240"/>
      <c r="HT170" s="240"/>
      <c r="HU170" s="240"/>
      <c r="HV170" s="240"/>
      <c r="HW170" s="240"/>
      <c r="HX170" s="240"/>
      <c r="HY170" s="240"/>
      <c r="HZ170" s="240"/>
      <c r="IA170" s="240"/>
      <c r="IB170" s="240"/>
      <c r="IC170" s="240"/>
      <c r="ID170" s="240"/>
      <c r="IE170" s="240"/>
      <c r="IF170" s="240"/>
      <c r="IG170" s="240"/>
      <c r="IH170" s="240"/>
      <c r="II170" s="240"/>
      <c r="IJ170" s="240"/>
      <c r="IK170" s="240"/>
      <c r="IL170" s="240"/>
      <c r="IM170" s="240"/>
      <c r="IN170" s="240"/>
      <c r="IO170" s="240"/>
      <c r="IP170" s="240"/>
      <c r="IQ170" s="240"/>
      <c r="IR170" s="240"/>
      <c r="IS170" s="240"/>
      <c r="IT170" s="240"/>
      <c r="IU170" s="240"/>
      <c r="IV170" s="240"/>
      <c r="IW170" s="240"/>
      <c r="IX170" s="240"/>
      <c r="IY170" s="240"/>
      <c r="IZ170" s="240"/>
      <c r="JA170" s="240"/>
      <c r="JB170" s="240"/>
      <c r="JC170" s="240"/>
      <c r="JD170" s="240"/>
      <c r="JE170" s="240"/>
      <c r="JF170" s="240"/>
      <c r="JG170" s="240"/>
      <c r="JH170" s="240"/>
      <c r="JI170" s="240"/>
      <c r="JJ170" s="240"/>
      <c r="JK170" s="240"/>
      <c r="JL170" s="240"/>
      <c r="JM170" s="240"/>
      <c r="JN170" s="240"/>
      <c r="JO170" s="240"/>
      <c r="JP170" s="240"/>
      <c r="JQ170" s="240"/>
      <c r="JR170" s="240"/>
      <c r="JS170" s="240"/>
      <c r="JT170" s="240"/>
      <c r="JU170" s="240"/>
      <c r="JV170" s="240"/>
      <c r="JW170" s="240"/>
      <c r="JX170" s="240"/>
      <c r="JY170" s="240"/>
      <c r="JZ170" s="240"/>
      <c r="KA170" s="240"/>
      <c r="KB170" s="240"/>
      <c r="KC170" s="240"/>
      <c r="KD170" s="240"/>
      <c r="KE170" s="240"/>
      <c r="KF170" s="240"/>
      <c r="KG170" s="240"/>
      <c r="KH170" s="240"/>
      <c r="KI170" s="240"/>
      <c r="KJ170" s="240"/>
      <c r="KK170" s="240"/>
      <c r="KL170" s="240"/>
      <c r="KM170" s="240"/>
      <c r="KN170" s="240"/>
      <c r="KO170" s="240"/>
      <c r="KP170" s="240"/>
      <c r="KQ170" s="240"/>
      <c r="KR170" s="240"/>
      <c r="KS170" s="240"/>
      <c r="KT170" s="240"/>
      <c r="KU170" s="240"/>
      <c r="KV170" s="240"/>
      <c r="KW170" s="240"/>
      <c r="KX170" s="240"/>
      <c r="KY170" s="240"/>
      <c r="KZ170" s="240"/>
      <c r="LA170" s="240"/>
      <c r="LB170" s="240"/>
      <c r="LC170" s="240"/>
      <c r="LD170" s="240"/>
      <c r="LE170" s="240"/>
      <c r="LF170" s="240"/>
      <c r="LG170" s="240"/>
      <c r="LH170" s="240"/>
      <c r="LI170" s="240"/>
      <c r="LJ170" s="240"/>
      <c r="LK170" s="240"/>
      <c r="LL170" s="240"/>
      <c r="LM170" s="240"/>
      <c r="LN170" s="240"/>
      <c r="LO170" s="240"/>
      <c r="LP170" s="240"/>
      <c r="LQ170" s="240"/>
      <c r="LR170" s="240"/>
      <c r="LS170" s="240"/>
      <c r="LT170" s="240"/>
      <c r="LU170" s="240"/>
      <c r="LV170" s="240"/>
      <c r="LW170" s="240"/>
      <c r="LX170" s="240"/>
      <c r="LY170" s="240"/>
      <c r="LZ170" s="240"/>
      <c r="MA170" s="240"/>
      <c r="MB170" s="240"/>
      <c r="MC170" s="240"/>
      <c r="MD170" s="240"/>
      <c r="ME170" s="240"/>
      <c r="MF170" s="240"/>
      <c r="MG170" s="240"/>
      <c r="MH170" s="240"/>
      <c r="MI170" s="240"/>
      <c r="MJ170" s="240"/>
      <c r="MK170" s="240"/>
      <c r="ML170" s="240"/>
      <c r="MM170" s="240"/>
      <c r="MN170" s="240"/>
      <c r="MO170" s="240"/>
      <c r="MP170" s="240"/>
      <c r="MQ170" s="240"/>
      <c r="MR170" s="240"/>
      <c r="MS170" s="240"/>
      <c r="MT170" s="240"/>
      <c r="MU170" s="240"/>
      <c r="MV170" s="240"/>
      <c r="MW170" s="240"/>
      <c r="MX170" s="240"/>
      <c r="MY170" s="240"/>
      <c r="MZ170" s="240"/>
      <c r="NA170" s="240"/>
      <c r="NB170" s="240"/>
      <c r="NC170" s="240"/>
      <c r="ND170" s="240"/>
      <c r="NE170" s="240"/>
      <c r="NF170" s="240"/>
      <c r="NG170" s="240"/>
      <c r="NH170" s="240"/>
      <c r="NI170" s="240"/>
      <c r="NJ170" s="240"/>
      <c r="NK170" s="240"/>
      <c r="NL170" s="240"/>
      <c r="NM170" s="240"/>
      <c r="NN170" s="240"/>
      <c r="NO170" s="240"/>
      <c r="NP170" s="240"/>
      <c r="NQ170" s="240"/>
      <c r="NR170" s="240"/>
      <c r="NS170" s="240"/>
      <c r="NT170" s="240"/>
      <c r="NU170" s="240"/>
      <c r="NV170" s="240"/>
      <c r="NW170" s="240"/>
      <c r="NX170" s="240"/>
      <c r="NY170" s="240"/>
      <c r="NZ170" s="240"/>
      <c r="OA170" s="240"/>
      <c r="OB170" s="240"/>
      <c r="OC170" s="240"/>
      <c r="OD170" s="240"/>
      <c r="OE170" s="240"/>
      <c r="OF170" s="240"/>
      <c r="OG170" s="240"/>
      <c r="OH170" s="240"/>
      <c r="OI170" s="240"/>
      <c r="OJ170" s="240"/>
      <c r="OK170" s="240"/>
      <c r="OL170" s="240"/>
      <c r="OM170" s="240"/>
      <c r="ON170" s="240"/>
      <c r="OO170" s="240"/>
      <c r="OP170" s="240"/>
      <c r="OQ170" s="240"/>
      <c r="OR170" s="240"/>
      <c r="OS170" s="240"/>
      <c r="OT170" s="240"/>
      <c r="OU170" s="240"/>
      <c r="OV170" s="240"/>
      <c r="OW170" s="240"/>
      <c r="OX170" s="240"/>
      <c r="OY170" s="240"/>
      <c r="OZ170" s="240"/>
      <c r="PA170" s="240"/>
      <c r="PB170" s="240"/>
      <c r="PC170" s="240"/>
      <c r="PD170" s="240"/>
      <c r="PE170" s="240"/>
      <c r="PF170" s="240"/>
      <c r="PG170" s="240"/>
      <c r="PH170" s="240"/>
      <c r="PI170" s="240"/>
      <c r="PJ170" s="240"/>
      <c r="PK170" s="240"/>
      <c r="PL170" s="240"/>
      <c r="PM170" s="240"/>
      <c r="PN170" s="240"/>
      <c r="PO170" s="240"/>
      <c r="PP170" s="240"/>
      <c r="PQ170" s="240"/>
      <c r="PR170" s="240"/>
      <c r="PS170" s="240"/>
      <c r="PT170" s="240"/>
      <c r="PU170" s="240"/>
      <c r="PV170" s="240"/>
      <c r="PW170" s="240"/>
      <c r="PX170" s="240"/>
      <c r="PY170" s="240"/>
      <c r="PZ170" s="240"/>
      <c r="QA170" s="240"/>
      <c r="QB170" s="240"/>
      <c r="QC170" s="240"/>
      <c r="QD170" s="240"/>
      <c r="QE170" s="240"/>
      <c r="QF170" s="240"/>
      <c r="QG170" s="240"/>
      <c r="QH170" s="240"/>
      <c r="QI170" s="240"/>
      <c r="QJ170" s="240"/>
      <c r="QK170" s="240"/>
      <c r="QL170" s="240"/>
      <c r="QM170" s="240"/>
      <c r="QN170" s="240"/>
      <c r="QO170" s="240"/>
      <c r="QP170" s="240"/>
      <c r="QQ170" s="240"/>
      <c r="QR170" s="240"/>
      <c r="QS170" s="240"/>
      <c r="QT170" s="240"/>
      <c r="QU170" s="240"/>
      <c r="QV170" s="240"/>
      <c r="QW170" s="240"/>
      <c r="QX170" s="240"/>
      <c r="QY170" s="240"/>
      <c r="QZ170" s="240"/>
      <c r="RA170" s="240"/>
      <c r="RB170" s="240"/>
      <c r="RC170" s="240"/>
      <c r="RD170" s="240"/>
      <c r="RE170" s="240"/>
      <c r="RF170" s="240"/>
      <c r="RG170" s="240"/>
      <c r="RH170" s="240"/>
      <c r="RI170" s="240"/>
      <c r="RJ170" s="240"/>
      <c r="RK170" s="240"/>
      <c r="RL170" s="240"/>
      <c r="RM170" s="240"/>
      <c r="RN170" s="240"/>
      <c r="RO170" s="240"/>
      <c r="RP170" s="240"/>
      <c r="RQ170" s="240"/>
      <c r="RR170" s="240"/>
      <c r="RS170" s="240"/>
      <c r="RT170" s="240"/>
      <c r="RU170" s="240"/>
      <c r="RV170" s="240"/>
      <c r="RW170" s="240"/>
      <c r="RX170" s="240"/>
      <c r="RY170" s="240"/>
      <c r="RZ170" s="240"/>
      <c r="SA170" s="240"/>
      <c r="SB170" s="240"/>
      <c r="SC170" s="240"/>
      <c r="SD170" s="240"/>
      <c r="SE170" s="240"/>
      <c r="SF170" s="240"/>
      <c r="SG170" s="240"/>
      <c r="SH170" s="240"/>
      <c r="SI170" s="240"/>
      <c r="SJ170" s="240"/>
      <c r="SK170" s="240"/>
      <c r="SL170" s="240"/>
      <c r="SM170" s="240"/>
      <c r="SN170" s="240"/>
      <c r="SO170" s="240"/>
      <c r="SP170" s="240"/>
      <c r="SQ170" s="240"/>
      <c r="SR170" s="240"/>
      <c r="SS170" s="240"/>
      <c r="ST170" s="240"/>
      <c r="SU170" s="240"/>
      <c r="SV170" s="240"/>
      <c r="SW170" s="240"/>
      <c r="SX170" s="240"/>
      <c r="SY170" s="240"/>
      <c r="SZ170" s="240"/>
      <c r="TA170" s="240"/>
      <c r="TB170" s="240"/>
      <c r="TC170" s="240"/>
      <c r="TD170" s="240"/>
      <c r="TE170" s="240"/>
      <c r="TF170" s="240"/>
      <c r="TG170" s="240"/>
      <c r="TH170" s="240"/>
      <c r="TI170" s="240"/>
      <c r="TJ170" s="240"/>
      <c r="TK170" s="240"/>
      <c r="TL170" s="240"/>
      <c r="TM170" s="240"/>
      <c r="TN170" s="240"/>
      <c r="TO170" s="240"/>
      <c r="TP170" s="240"/>
      <c r="TQ170" s="240"/>
      <c r="TR170" s="240"/>
      <c r="TS170" s="240"/>
      <c r="TT170" s="240"/>
      <c r="TU170" s="240"/>
    </row>
    <row r="171" spans="1:541" s="268" customFormat="1" outlineLevel="1" x14ac:dyDescent="0.25">
      <c r="A171" s="232">
        <v>39</v>
      </c>
      <c r="B171" s="193" t="s">
        <v>1075</v>
      </c>
      <c r="C171" s="5" t="s">
        <v>668</v>
      </c>
      <c r="D171" s="5" t="s">
        <v>115</v>
      </c>
      <c r="E171" s="5" t="s">
        <v>100</v>
      </c>
      <c r="F171" s="213" t="s">
        <v>1095</v>
      </c>
      <c r="G171" s="322" t="s">
        <v>792</v>
      </c>
      <c r="H171" s="213" t="s">
        <v>1167</v>
      </c>
      <c r="I171" s="5" t="s">
        <v>1163</v>
      </c>
      <c r="J171" s="233" t="s">
        <v>101</v>
      </c>
      <c r="K171" s="5"/>
      <c r="L171" s="5"/>
      <c r="M171" s="213"/>
      <c r="N171" s="5" t="s">
        <v>365</v>
      </c>
      <c r="O171" s="5"/>
      <c r="P171" s="5"/>
      <c r="Q171" s="234" t="s">
        <v>982</v>
      </c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 s="228"/>
      <c r="AX171" s="228"/>
      <c r="AY171" s="228"/>
      <c r="AZ171" s="228"/>
      <c r="BA171" s="228"/>
      <c r="BB171" s="228"/>
      <c r="BC171" s="228"/>
      <c r="BD171" s="228"/>
      <c r="BE171" s="228"/>
      <c r="BF171" s="228"/>
      <c r="BG171" s="228"/>
      <c r="BH171" s="228"/>
      <c r="BI171" s="228"/>
      <c r="BJ171" s="228"/>
      <c r="BK171" s="228"/>
      <c r="BL171" s="228"/>
      <c r="BM171" s="228"/>
      <c r="BN171" s="228"/>
      <c r="BO171" s="228"/>
      <c r="BP171" s="228"/>
      <c r="BQ171" s="228"/>
      <c r="BR171" s="228"/>
      <c r="BS171" s="228"/>
      <c r="BT171" s="228"/>
      <c r="BU171" s="228"/>
      <c r="BV171" s="228"/>
      <c r="BW171" s="228"/>
      <c r="BX171" s="228"/>
      <c r="BY171" s="228"/>
      <c r="BZ171" s="228"/>
      <c r="CA171" s="228"/>
      <c r="CB171" s="228"/>
      <c r="CC171" s="228"/>
      <c r="CD171" s="228"/>
      <c r="CE171" s="228"/>
      <c r="CF171" s="228"/>
      <c r="CG171" s="228"/>
      <c r="CH171" s="228"/>
      <c r="CI171" s="228"/>
      <c r="CJ171" s="228"/>
      <c r="CK171" s="228"/>
      <c r="CL171" s="228"/>
      <c r="CM171" s="228"/>
      <c r="CN171" s="228"/>
      <c r="CO171" s="228"/>
      <c r="CP171" s="228"/>
      <c r="CQ171" s="228"/>
      <c r="CR171" s="228"/>
      <c r="CS171" s="228"/>
      <c r="CT171" s="228"/>
      <c r="CU171" s="228"/>
      <c r="CV171" s="228"/>
      <c r="CW171" s="228"/>
      <c r="CX171" s="228"/>
      <c r="CY171" s="228"/>
      <c r="CZ171" s="228"/>
      <c r="DA171" s="228"/>
      <c r="DB171" s="228"/>
      <c r="DC171" s="228"/>
      <c r="DD171" s="228"/>
      <c r="DE171" s="228"/>
      <c r="DF171" s="228"/>
      <c r="DG171" s="228"/>
      <c r="DH171" s="228"/>
      <c r="DI171" s="228"/>
      <c r="DJ171" s="228"/>
      <c r="DK171" s="228"/>
      <c r="DL171" s="228"/>
      <c r="DM171" s="228"/>
      <c r="DN171" s="228"/>
      <c r="DO171" s="228"/>
      <c r="DP171" s="228"/>
      <c r="DQ171" s="228"/>
      <c r="DR171" s="228"/>
      <c r="DS171" s="228"/>
      <c r="DT171" s="228"/>
      <c r="DU171" s="228"/>
      <c r="DV171" s="228"/>
      <c r="DW171" s="228"/>
      <c r="DX171" s="228"/>
      <c r="DY171" s="228"/>
      <c r="DZ171" s="228"/>
      <c r="EA171" s="228"/>
      <c r="EB171" s="228"/>
      <c r="EC171" s="228"/>
      <c r="ED171" s="228"/>
      <c r="EE171" s="228"/>
      <c r="EF171" s="228"/>
      <c r="EG171" s="228"/>
      <c r="EH171" s="228"/>
      <c r="EI171" s="228"/>
      <c r="EJ171" s="228"/>
      <c r="EK171" s="228"/>
      <c r="EL171" s="228"/>
      <c r="EM171" s="228"/>
      <c r="EN171" s="228"/>
      <c r="EO171" s="228"/>
      <c r="EP171" s="228"/>
      <c r="EQ171" s="228"/>
      <c r="ER171" s="228"/>
      <c r="ES171" s="228"/>
      <c r="ET171" s="228"/>
      <c r="EU171" s="228"/>
      <c r="EV171" s="228"/>
      <c r="EW171" s="228"/>
      <c r="EX171" s="228"/>
      <c r="EY171" s="228"/>
      <c r="EZ171" s="228"/>
      <c r="FA171" s="228"/>
      <c r="FB171" s="228"/>
      <c r="FC171" s="228"/>
      <c r="FD171" s="228"/>
      <c r="FE171" s="228"/>
      <c r="FF171" s="228"/>
      <c r="FG171" s="228"/>
      <c r="FH171" s="228"/>
      <c r="FI171" s="228"/>
      <c r="FJ171" s="228"/>
      <c r="FK171" s="228"/>
      <c r="FL171" s="228"/>
      <c r="FM171" s="228"/>
      <c r="FN171" s="228"/>
      <c r="FO171" s="228"/>
      <c r="FP171" s="228"/>
      <c r="FQ171" s="228"/>
      <c r="FR171" s="228"/>
      <c r="FS171" s="228"/>
      <c r="FT171" s="228"/>
      <c r="FU171" s="228"/>
      <c r="FV171" s="228"/>
      <c r="FW171" s="228"/>
      <c r="FX171" s="228"/>
      <c r="FY171" s="228"/>
      <c r="FZ171" s="228"/>
      <c r="GA171" s="228"/>
      <c r="GB171" s="228"/>
      <c r="GC171" s="228"/>
      <c r="GD171" s="228"/>
      <c r="GE171" s="228"/>
      <c r="GF171" s="228"/>
      <c r="GG171" s="228"/>
      <c r="GH171" s="228"/>
      <c r="GI171" s="228"/>
      <c r="GJ171" s="228"/>
      <c r="GK171" s="228"/>
      <c r="GL171" s="228"/>
      <c r="GM171" s="228"/>
      <c r="GN171" s="228"/>
      <c r="GO171" s="228"/>
      <c r="GP171" s="228"/>
      <c r="GQ171" s="228"/>
      <c r="GR171" s="228"/>
      <c r="GS171" s="228"/>
      <c r="GT171" s="228"/>
      <c r="GU171" s="228"/>
      <c r="GV171" s="228"/>
      <c r="GW171" s="228"/>
      <c r="GX171" s="228"/>
      <c r="GY171" s="228"/>
      <c r="GZ171" s="228"/>
      <c r="HA171" s="228"/>
      <c r="HB171" s="228"/>
      <c r="HC171" s="228"/>
      <c r="HD171" s="228"/>
      <c r="HE171" s="228"/>
      <c r="HF171" s="228"/>
      <c r="HG171" s="228"/>
      <c r="HH171" s="228"/>
      <c r="HI171" s="228"/>
      <c r="HJ171" s="228"/>
      <c r="HK171" s="228"/>
      <c r="HL171" s="228"/>
      <c r="HM171" s="228"/>
      <c r="HN171" s="228"/>
      <c r="HO171" s="228"/>
      <c r="HP171" s="228"/>
      <c r="HQ171" s="228"/>
      <c r="HR171" s="228"/>
      <c r="HS171" s="228"/>
      <c r="HT171" s="228"/>
      <c r="HU171" s="228"/>
      <c r="HV171" s="228"/>
      <c r="HW171" s="228"/>
      <c r="HX171" s="228"/>
      <c r="HY171" s="228"/>
      <c r="HZ171" s="228"/>
      <c r="IA171" s="228"/>
      <c r="IB171" s="228"/>
      <c r="IC171" s="228"/>
      <c r="ID171" s="228"/>
      <c r="IE171" s="228"/>
      <c r="IF171" s="228"/>
      <c r="IG171" s="228"/>
      <c r="IH171" s="228"/>
      <c r="II171" s="228"/>
      <c r="IJ171" s="228"/>
      <c r="IK171" s="228"/>
      <c r="IL171" s="228"/>
      <c r="IM171" s="228"/>
      <c r="IN171" s="228"/>
      <c r="IO171" s="228"/>
      <c r="IP171" s="228"/>
      <c r="IQ171" s="228"/>
      <c r="IR171" s="228"/>
      <c r="IS171" s="228"/>
      <c r="IT171" s="228"/>
      <c r="IU171" s="228"/>
      <c r="IV171" s="228"/>
      <c r="IW171" s="228"/>
      <c r="IX171" s="228"/>
      <c r="IY171" s="228"/>
      <c r="IZ171" s="228"/>
      <c r="JA171" s="228"/>
      <c r="JB171" s="228"/>
      <c r="JC171" s="228"/>
      <c r="JD171" s="228"/>
      <c r="JE171" s="228"/>
      <c r="JF171" s="228"/>
      <c r="JG171" s="228"/>
      <c r="JH171" s="228"/>
      <c r="JI171" s="228"/>
      <c r="JJ171" s="228"/>
      <c r="JK171" s="228"/>
      <c r="JL171" s="228"/>
      <c r="JM171" s="228"/>
      <c r="JN171" s="228"/>
      <c r="JO171" s="228"/>
      <c r="JP171" s="228"/>
      <c r="JQ171" s="228"/>
      <c r="JR171" s="228"/>
      <c r="JS171" s="228"/>
      <c r="JT171" s="228"/>
      <c r="JU171" s="228"/>
      <c r="JV171" s="228"/>
      <c r="JW171" s="228"/>
      <c r="JX171" s="228"/>
      <c r="JY171" s="228"/>
      <c r="JZ171" s="228"/>
      <c r="KA171" s="228"/>
      <c r="KB171" s="228"/>
      <c r="KC171" s="228"/>
      <c r="KD171" s="228"/>
      <c r="KE171" s="228"/>
      <c r="KF171" s="228"/>
      <c r="KG171" s="228"/>
      <c r="KH171" s="228"/>
      <c r="KI171" s="228"/>
      <c r="KJ171" s="228"/>
      <c r="KK171" s="228"/>
      <c r="KL171" s="228"/>
      <c r="KM171" s="228"/>
      <c r="KN171" s="228"/>
      <c r="KO171" s="228"/>
      <c r="KP171" s="228"/>
      <c r="KQ171" s="228"/>
      <c r="KR171" s="228"/>
      <c r="KS171" s="228"/>
      <c r="KT171" s="228"/>
      <c r="KU171" s="228"/>
      <c r="KV171" s="228"/>
      <c r="KW171" s="228"/>
      <c r="KX171" s="228"/>
      <c r="KY171" s="228"/>
      <c r="KZ171" s="228"/>
      <c r="LA171" s="228"/>
      <c r="LB171" s="228"/>
      <c r="LC171" s="228"/>
      <c r="LD171" s="228"/>
      <c r="LE171" s="228"/>
      <c r="LF171" s="228"/>
      <c r="LG171" s="228"/>
      <c r="LH171" s="228"/>
      <c r="LI171" s="228"/>
      <c r="LJ171" s="228"/>
      <c r="LK171" s="228"/>
      <c r="LL171" s="228"/>
      <c r="LM171" s="228"/>
      <c r="LN171" s="228"/>
      <c r="LO171" s="228"/>
      <c r="LP171" s="228"/>
      <c r="LQ171" s="228"/>
      <c r="LR171" s="228"/>
      <c r="LS171" s="228"/>
      <c r="LT171" s="228"/>
      <c r="LU171" s="228"/>
      <c r="LV171" s="228"/>
      <c r="LW171" s="228"/>
      <c r="LX171" s="228"/>
      <c r="LY171" s="228"/>
      <c r="LZ171" s="228"/>
      <c r="MA171" s="228"/>
      <c r="MB171" s="228"/>
      <c r="MC171" s="228"/>
      <c r="MD171" s="228"/>
      <c r="ME171" s="228"/>
      <c r="MF171" s="228"/>
      <c r="MG171" s="228"/>
      <c r="MH171" s="228"/>
      <c r="MI171" s="228"/>
      <c r="MJ171" s="228"/>
      <c r="MK171" s="228"/>
      <c r="ML171" s="228"/>
      <c r="MM171" s="228"/>
      <c r="MN171" s="228"/>
      <c r="MO171" s="228"/>
      <c r="MP171" s="228"/>
      <c r="MQ171" s="228"/>
      <c r="MR171" s="228"/>
      <c r="MS171" s="228"/>
      <c r="MT171" s="228"/>
      <c r="MU171" s="228"/>
      <c r="MV171" s="228"/>
      <c r="MW171" s="228"/>
      <c r="MX171" s="228"/>
      <c r="MY171" s="228"/>
      <c r="MZ171" s="228"/>
      <c r="NA171" s="228"/>
      <c r="NB171" s="228"/>
      <c r="NC171" s="228"/>
      <c r="ND171" s="228"/>
      <c r="NE171" s="228"/>
      <c r="NF171" s="228"/>
      <c r="NG171" s="228"/>
      <c r="NH171" s="228"/>
      <c r="NI171" s="228"/>
      <c r="NJ171" s="228"/>
      <c r="NK171" s="228"/>
      <c r="NL171" s="228"/>
      <c r="NM171" s="228"/>
      <c r="NN171" s="228"/>
      <c r="NO171" s="228"/>
      <c r="NP171" s="228"/>
      <c r="NQ171" s="228"/>
      <c r="NR171" s="228"/>
      <c r="NS171" s="228"/>
      <c r="NT171" s="228"/>
      <c r="NU171" s="228"/>
      <c r="NV171" s="228"/>
      <c r="NW171" s="228"/>
      <c r="NX171" s="228"/>
      <c r="NY171" s="228"/>
      <c r="NZ171" s="228"/>
      <c r="OA171" s="228"/>
      <c r="OB171" s="228"/>
      <c r="OC171" s="228"/>
      <c r="OD171" s="228"/>
      <c r="OE171" s="228"/>
      <c r="OF171" s="228"/>
      <c r="OG171" s="228"/>
      <c r="OH171" s="228"/>
      <c r="OI171" s="228"/>
      <c r="OJ171" s="228"/>
      <c r="OK171" s="228"/>
      <c r="OL171" s="228"/>
      <c r="OM171" s="228"/>
      <c r="ON171" s="228"/>
      <c r="OO171" s="228"/>
      <c r="OP171" s="228"/>
      <c r="OQ171" s="228"/>
      <c r="OR171" s="228"/>
      <c r="OS171" s="228"/>
      <c r="OT171" s="228"/>
      <c r="OU171" s="228"/>
      <c r="OV171" s="228"/>
      <c r="OW171" s="228"/>
      <c r="OX171" s="228"/>
      <c r="OY171" s="228"/>
      <c r="OZ171" s="228"/>
      <c r="PA171" s="228"/>
      <c r="PB171" s="228"/>
      <c r="PC171" s="228"/>
      <c r="PD171" s="228"/>
      <c r="PE171" s="228"/>
      <c r="PF171" s="228"/>
      <c r="PG171" s="228"/>
      <c r="PH171" s="228"/>
      <c r="PI171" s="228"/>
      <c r="PJ171" s="228"/>
      <c r="PK171" s="228"/>
      <c r="PL171" s="228"/>
      <c r="PM171" s="228"/>
      <c r="PN171" s="228"/>
      <c r="PO171" s="228"/>
      <c r="PP171" s="228"/>
      <c r="PQ171" s="228"/>
      <c r="PR171" s="228"/>
      <c r="PS171" s="228"/>
      <c r="PT171" s="228"/>
      <c r="PU171" s="228"/>
      <c r="PV171" s="228"/>
      <c r="PW171" s="228"/>
      <c r="PX171" s="228"/>
      <c r="PY171" s="228"/>
      <c r="PZ171" s="228"/>
      <c r="QA171" s="228"/>
      <c r="QB171" s="228"/>
      <c r="QC171" s="228"/>
      <c r="QD171" s="228"/>
      <c r="QE171" s="228"/>
      <c r="QF171" s="228"/>
      <c r="QG171" s="228"/>
      <c r="QH171" s="228"/>
      <c r="QI171" s="228"/>
      <c r="QJ171" s="228"/>
      <c r="QK171" s="228"/>
      <c r="QL171" s="228"/>
      <c r="QM171" s="228"/>
      <c r="QN171" s="228"/>
      <c r="QO171" s="228"/>
      <c r="QP171" s="228"/>
      <c r="QQ171" s="228"/>
      <c r="QR171" s="228"/>
      <c r="QS171" s="228"/>
      <c r="QT171" s="228"/>
      <c r="QU171" s="228"/>
      <c r="QV171" s="228"/>
      <c r="QW171" s="228"/>
      <c r="QX171" s="228"/>
      <c r="QY171" s="228"/>
      <c r="QZ171" s="228"/>
      <c r="RA171" s="228"/>
      <c r="RB171" s="228"/>
      <c r="RC171" s="228"/>
      <c r="RD171" s="228"/>
      <c r="RE171" s="228"/>
      <c r="RF171" s="228"/>
      <c r="RG171" s="228"/>
      <c r="RH171" s="228"/>
      <c r="RI171" s="228"/>
      <c r="RJ171" s="228"/>
      <c r="RK171" s="228"/>
      <c r="RL171" s="228"/>
      <c r="RM171" s="228"/>
      <c r="RN171" s="228"/>
      <c r="RO171" s="228"/>
      <c r="RP171" s="228"/>
      <c r="RQ171" s="228"/>
      <c r="RR171" s="228"/>
      <c r="RS171" s="228"/>
      <c r="RT171" s="228"/>
      <c r="RU171" s="228"/>
      <c r="RV171" s="228"/>
      <c r="RW171" s="228"/>
      <c r="RX171" s="228"/>
      <c r="RY171" s="228"/>
      <c r="RZ171" s="228"/>
      <c r="SA171" s="228"/>
      <c r="SB171" s="228"/>
      <c r="SC171" s="228"/>
      <c r="SD171" s="228"/>
      <c r="SE171" s="228"/>
      <c r="SF171" s="228"/>
      <c r="SG171" s="228"/>
      <c r="SH171" s="228"/>
      <c r="SI171" s="228"/>
      <c r="SJ171" s="228"/>
      <c r="SK171" s="228"/>
      <c r="SL171" s="228"/>
      <c r="SM171" s="228"/>
      <c r="SN171" s="228"/>
      <c r="SO171" s="228"/>
      <c r="SP171" s="228"/>
      <c r="SQ171" s="228"/>
      <c r="SR171" s="228"/>
      <c r="SS171" s="228"/>
      <c r="ST171" s="228"/>
      <c r="SU171" s="228"/>
      <c r="SV171" s="228"/>
      <c r="SW171" s="228"/>
      <c r="SX171" s="228"/>
      <c r="SY171" s="228"/>
      <c r="SZ171" s="228"/>
      <c r="TA171" s="228"/>
      <c r="TB171" s="228"/>
      <c r="TC171" s="228"/>
      <c r="TD171" s="228"/>
      <c r="TE171" s="228"/>
      <c r="TF171" s="228"/>
      <c r="TG171" s="228"/>
      <c r="TH171" s="228"/>
      <c r="TI171" s="228"/>
      <c r="TJ171" s="228"/>
      <c r="TK171" s="228"/>
      <c r="TL171" s="228"/>
      <c r="TM171" s="228"/>
      <c r="TN171" s="228"/>
      <c r="TO171" s="228"/>
      <c r="TP171" s="228"/>
      <c r="TQ171" s="228"/>
      <c r="TR171" s="228"/>
      <c r="TS171" s="228"/>
      <c r="TT171" s="228"/>
      <c r="TU171" s="228"/>
    </row>
    <row r="172" spans="1:541" s="268" customFormat="1" ht="15.75" outlineLevel="1" thickBot="1" x14ac:dyDescent="0.3">
      <c r="A172" s="241">
        <v>40</v>
      </c>
      <c r="B172" s="194" t="s">
        <v>1075</v>
      </c>
      <c r="C172" s="209" t="s">
        <v>668</v>
      </c>
      <c r="D172" s="209" t="s">
        <v>113</v>
      </c>
      <c r="E172" s="209" t="s">
        <v>100</v>
      </c>
      <c r="F172" s="215" t="s">
        <v>1095</v>
      </c>
      <c r="G172" s="382" t="s">
        <v>792</v>
      </c>
      <c r="H172" s="215" t="s">
        <v>1167</v>
      </c>
      <c r="I172" s="5" t="s">
        <v>1163</v>
      </c>
      <c r="J172" s="270" t="s">
        <v>106</v>
      </c>
      <c r="K172" s="209"/>
      <c r="L172" s="209"/>
      <c r="M172" s="215"/>
      <c r="N172" s="209" t="s">
        <v>365</v>
      </c>
      <c r="O172" s="209"/>
      <c r="P172" s="209"/>
      <c r="Q172" s="242" t="s">
        <v>984</v>
      </c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 s="228"/>
      <c r="AX172" s="228"/>
      <c r="AY172" s="228"/>
      <c r="AZ172" s="228"/>
      <c r="BA172" s="228"/>
      <c r="BB172" s="228"/>
      <c r="BC172" s="228"/>
      <c r="BD172" s="228"/>
      <c r="BE172" s="228"/>
      <c r="BF172" s="228"/>
      <c r="BG172" s="228"/>
      <c r="BH172" s="228"/>
      <c r="BI172" s="228"/>
      <c r="BJ172" s="228"/>
      <c r="BK172" s="228"/>
      <c r="BL172" s="228"/>
      <c r="BM172" s="228"/>
      <c r="BN172" s="228"/>
      <c r="BO172" s="228"/>
      <c r="BP172" s="228"/>
      <c r="BQ172" s="228"/>
      <c r="BR172" s="228"/>
      <c r="BS172" s="228"/>
      <c r="BT172" s="228"/>
      <c r="BU172" s="228"/>
      <c r="BV172" s="228"/>
      <c r="BW172" s="228"/>
      <c r="BX172" s="228"/>
      <c r="BY172" s="228"/>
      <c r="BZ172" s="228"/>
      <c r="CA172" s="228"/>
      <c r="CB172" s="228"/>
      <c r="CC172" s="228"/>
      <c r="CD172" s="228"/>
      <c r="CE172" s="228"/>
      <c r="CF172" s="228"/>
      <c r="CG172" s="228"/>
      <c r="CH172" s="228"/>
      <c r="CI172" s="228"/>
      <c r="CJ172" s="228"/>
      <c r="CK172" s="228"/>
      <c r="CL172" s="228"/>
      <c r="CM172" s="228"/>
      <c r="CN172" s="228"/>
      <c r="CO172" s="228"/>
      <c r="CP172" s="228"/>
      <c r="CQ172" s="228"/>
      <c r="CR172" s="228"/>
      <c r="CS172" s="228"/>
      <c r="CT172" s="228"/>
      <c r="CU172" s="228"/>
      <c r="CV172" s="228"/>
      <c r="CW172" s="228"/>
      <c r="CX172" s="228"/>
      <c r="CY172" s="228"/>
      <c r="CZ172" s="228"/>
      <c r="DA172" s="228"/>
      <c r="DB172" s="228"/>
      <c r="DC172" s="228"/>
      <c r="DD172" s="228"/>
      <c r="DE172" s="228"/>
      <c r="DF172" s="228"/>
      <c r="DG172" s="228"/>
      <c r="DH172" s="228"/>
      <c r="DI172" s="228"/>
      <c r="DJ172" s="228"/>
      <c r="DK172" s="228"/>
      <c r="DL172" s="228"/>
      <c r="DM172" s="228"/>
      <c r="DN172" s="228"/>
      <c r="DO172" s="228"/>
      <c r="DP172" s="228"/>
      <c r="DQ172" s="228"/>
      <c r="DR172" s="228"/>
      <c r="DS172" s="228"/>
      <c r="DT172" s="228"/>
      <c r="DU172" s="228"/>
      <c r="DV172" s="228"/>
      <c r="DW172" s="228"/>
      <c r="DX172" s="228"/>
      <c r="DY172" s="228"/>
      <c r="DZ172" s="228"/>
      <c r="EA172" s="228"/>
      <c r="EB172" s="228"/>
      <c r="EC172" s="228"/>
      <c r="ED172" s="228"/>
      <c r="EE172" s="228"/>
      <c r="EF172" s="228"/>
      <c r="EG172" s="228"/>
      <c r="EH172" s="228"/>
      <c r="EI172" s="228"/>
      <c r="EJ172" s="228"/>
      <c r="EK172" s="228"/>
      <c r="EL172" s="228"/>
      <c r="EM172" s="228"/>
      <c r="EN172" s="228"/>
      <c r="EO172" s="228"/>
      <c r="EP172" s="228"/>
      <c r="EQ172" s="228"/>
      <c r="ER172" s="228"/>
      <c r="ES172" s="228"/>
      <c r="ET172" s="228"/>
      <c r="EU172" s="228"/>
      <c r="EV172" s="228"/>
      <c r="EW172" s="228"/>
      <c r="EX172" s="228"/>
      <c r="EY172" s="228"/>
      <c r="EZ172" s="228"/>
      <c r="FA172" s="228"/>
      <c r="FB172" s="228"/>
      <c r="FC172" s="228"/>
      <c r="FD172" s="228"/>
      <c r="FE172" s="228"/>
      <c r="FF172" s="228"/>
      <c r="FG172" s="228"/>
      <c r="FH172" s="228"/>
      <c r="FI172" s="228"/>
      <c r="FJ172" s="228"/>
      <c r="FK172" s="228"/>
      <c r="FL172" s="228"/>
      <c r="FM172" s="228"/>
      <c r="FN172" s="228"/>
      <c r="FO172" s="228"/>
      <c r="FP172" s="228"/>
      <c r="FQ172" s="228"/>
      <c r="FR172" s="228"/>
      <c r="FS172" s="228"/>
      <c r="FT172" s="228"/>
      <c r="FU172" s="228"/>
      <c r="FV172" s="228"/>
      <c r="FW172" s="228"/>
      <c r="FX172" s="228"/>
      <c r="FY172" s="228"/>
      <c r="FZ172" s="228"/>
      <c r="GA172" s="228"/>
      <c r="GB172" s="228"/>
      <c r="GC172" s="228"/>
      <c r="GD172" s="228"/>
      <c r="GE172" s="228"/>
      <c r="GF172" s="228"/>
      <c r="GG172" s="228"/>
      <c r="GH172" s="228"/>
      <c r="GI172" s="228"/>
      <c r="GJ172" s="228"/>
      <c r="GK172" s="228"/>
      <c r="GL172" s="228"/>
      <c r="GM172" s="228"/>
      <c r="GN172" s="228"/>
      <c r="GO172" s="228"/>
      <c r="GP172" s="228"/>
      <c r="GQ172" s="228"/>
      <c r="GR172" s="228"/>
      <c r="GS172" s="228"/>
      <c r="GT172" s="228"/>
      <c r="GU172" s="228"/>
      <c r="GV172" s="228"/>
      <c r="GW172" s="228"/>
      <c r="GX172" s="228"/>
      <c r="GY172" s="228"/>
      <c r="GZ172" s="228"/>
      <c r="HA172" s="228"/>
      <c r="HB172" s="228"/>
      <c r="HC172" s="228"/>
      <c r="HD172" s="228"/>
      <c r="HE172" s="228"/>
      <c r="HF172" s="228"/>
      <c r="HG172" s="228"/>
      <c r="HH172" s="228"/>
      <c r="HI172" s="228"/>
      <c r="HJ172" s="228"/>
      <c r="HK172" s="228"/>
      <c r="HL172" s="228"/>
      <c r="HM172" s="228"/>
      <c r="HN172" s="228"/>
      <c r="HO172" s="228"/>
      <c r="HP172" s="228"/>
      <c r="HQ172" s="228"/>
      <c r="HR172" s="228"/>
      <c r="HS172" s="228"/>
      <c r="HT172" s="228"/>
      <c r="HU172" s="228"/>
      <c r="HV172" s="228"/>
      <c r="HW172" s="228"/>
      <c r="HX172" s="228"/>
      <c r="HY172" s="228"/>
      <c r="HZ172" s="228"/>
      <c r="IA172" s="228"/>
      <c r="IB172" s="228"/>
      <c r="IC172" s="228"/>
      <c r="ID172" s="228"/>
      <c r="IE172" s="228"/>
      <c r="IF172" s="228"/>
      <c r="IG172" s="228"/>
      <c r="IH172" s="228"/>
      <c r="II172" s="228"/>
      <c r="IJ172" s="228"/>
      <c r="IK172" s="228"/>
      <c r="IL172" s="228"/>
      <c r="IM172" s="228"/>
      <c r="IN172" s="228"/>
      <c r="IO172" s="228"/>
      <c r="IP172" s="228"/>
      <c r="IQ172" s="228"/>
      <c r="IR172" s="228"/>
      <c r="IS172" s="228"/>
      <c r="IT172" s="228"/>
      <c r="IU172" s="228"/>
      <c r="IV172" s="228"/>
      <c r="IW172" s="228"/>
      <c r="IX172" s="228"/>
      <c r="IY172" s="228"/>
      <c r="IZ172" s="228"/>
      <c r="JA172" s="228"/>
      <c r="JB172" s="228"/>
      <c r="JC172" s="228"/>
      <c r="JD172" s="228"/>
      <c r="JE172" s="228"/>
      <c r="JF172" s="228"/>
      <c r="JG172" s="228"/>
      <c r="JH172" s="228"/>
      <c r="JI172" s="228"/>
      <c r="JJ172" s="228"/>
      <c r="JK172" s="228"/>
      <c r="JL172" s="228"/>
      <c r="JM172" s="228"/>
      <c r="JN172" s="228"/>
      <c r="JO172" s="228"/>
      <c r="JP172" s="228"/>
      <c r="JQ172" s="228"/>
      <c r="JR172" s="228"/>
      <c r="JS172" s="228"/>
      <c r="JT172" s="228"/>
      <c r="JU172" s="228"/>
      <c r="JV172" s="228"/>
      <c r="JW172" s="228"/>
      <c r="JX172" s="228"/>
      <c r="JY172" s="228"/>
      <c r="JZ172" s="228"/>
      <c r="KA172" s="228"/>
      <c r="KB172" s="228"/>
      <c r="KC172" s="228"/>
      <c r="KD172" s="228"/>
      <c r="KE172" s="228"/>
      <c r="KF172" s="228"/>
      <c r="KG172" s="228"/>
      <c r="KH172" s="228"/>
      <c r="KI172" s="228"/>
      <c r="KJ172" s="228"/>
      <c r="KK172" s="228"/>
      <c r="KL172" s="228"/>
      <c r="KM172" s="228"/>
      <c r="KN172" s="228"/>
      <c r="KO172" s="228"/>
      <c r="KP172" s="228"/>
      <c r="KQ172" s="228"/>
      <c r="KR172" s="228"/>
      <c r="KS172" s="228"/>
      <c r="KT172" s="228"/>
      <c r="KU172" s="228"/>
      <c r="KV172" s="228"/>
      <c r="KW172" s="228"/>
      <c r="KX172" s="228"/>
      <c r="KY172" s="228"/>
      <c r="KZ172" s="228"/>
      <c r="LA172" s="228"/>
      <c r="LB172" s="228"/>
      <c r="LC172" s="228"/>
      <c r="LD172" s="228"/>
      <c r="LE172" s="228"/>
      <c r="LF172" s="228"/>
      <c r="LG172" s="228"/>
      <c r="LH172" s="228"/>
      <c r="LI172" s="228"/>
      <c r="LJ172" s="228"/>
      <c r="LK172" s="228"/>
      <c r="LL172" s="228"/>
      <c r="LM172" s="228"/>
      <c r="LN172" s="228"/>
      <c r="LO172" s="228"/>
      <c r="LP172" s="228"/>
      <c r="LQ172" s="228"/>
      <c r="LR172" s="228"/>
      <c r="LS172" s="228"/>
      <c r="LT172" s="228"/>
      <c r="LU172" s="228"/>
      <c r="LV172" s="228"/>
      <c r="LW172" s="228"/>
      <c r="LX172" s="228"/>
      <c r="LY172" s="228"/>
      <c r="LZ172" s="228"/>
      <c r="MA172" s="228"/>
      <c r="MB172" s="228"/>
      <c r="MC172" s="228"/>
      <c r="MD172" s="228"/>
      <c r="ME172" s="228"/>
      <c r="MF172" s="228"/>
      <c r="MG172" s="228"/>
      <c r="MH172" s="228"/>
      <c r="MI172" s="228"/>
      <c r="MJ172" s="228"/>
      <c r="MK172" s="228"/>
      <c r="ML172" s="228"/>
      <c r="MM172" s="228"/>
      <c r="MN172" s="228"/>
      <c r="MO172" s="228"/>
      <c r="MP172" s="228"/>
      <c r="MQ172" s="228"/>
      <c r="MR172" s="228"/>
      <c r="MS172" s="228"/>
      <c r="MT172" s="228"/>
      <c r="MU172" s="228"/>
      <c r="MV172" s="228"/>
      <c r="MW172" s="228"/>
      <c r="MX172" s="228"/>
      <c r="MY172" s="228"/>
      <c r="MZ172" s="228"/>
      <c r="NA172" s="228"/>
      <c r="NB172" s="228"/>
      <c r="NC172" s="228"/>
      <c r="ND172" s="228"/>
      <c r="NE172" s="228"/>
      <c r="NF172" s="228"/>
      <c r="NG172" s="228"/>
      <c r="NH172" s="228"/>
      <c r="NI172" s="228"/>
      <c r="NJ172" s="228"/>
      <c r="NK172" s="228"/>
      <c r="NL172" s="228"/>
      <c r="NM172" s="228"/>
      <c r="NN172" s="228"/>
      <c r="NO172" s="228"/>
      <c r="NP172" s="228"/>
      <c r="NQ172" s="228"/>
      <c r="NR172" s="228"/>
      <c r="NS172" s="228"/>
      <c r="NT172" s="228"/>
      <c r="NU172" s="228"/>
      <c r="NV172" s="228"/>
      <c r="NW172" s="228"/>
      <c r="NX172" s="228"/>
      <c r="NY172" s="228"/>
      <c r="NZ172" s="228"/>
      <c r="OA172" s="228"/>
      <c r="OB172" s="228"/>
      <c r="OC172" s="228"/>
      <c r="OD172" s="228"/>
      <c r="OE172" s="228"/>
      <c r="OF172" s="228"/>
      <c r="OG172" s="228"/>
      <c r="OH172" s="228"/>
      <c r="OI172" s="228"/>
      <c r="OJ172" s="228"/>
      <c r="OK172" s="228"/>
      <c r="OL172" s="228"/>
      <c r="OM172" s="228"/>
      <c r="ON172" s="228"/>
      <c r="OO172" s="228"/>
      <c r="OP172" s="228"/>
      <c r="OQ172" s="228"/>
      <c r="OR172" s="228"/>
      <c r="OS172" s="228"/>
      <c r="OT172" s="228"/>
      <c r="OU172" s="228"/>
      <c r="OV172" s="228"/>
      <c r="OW172" s="228"/>
      <c r="OX172" s="228"/>
      <c r="OY172" s="228"/>
      <c r="OZ172" s="228"/>
      <c r="PA172" s="228"/>
      <c r="PB172" s="228"/>
      <c r="PC172" s="228"/>
      <c r="PD172" s="228"/>
      <c r="PE172" s="228"/>
      <c r="PF172" s="228"/>
      <c r="PG172" s="228"/>
      <c r="PH172" s="228"/>
      <c r="PI172" s="228"/>
      <c r="PJ172" s="228"/>
      <c r="PK172" s="228"/>
      <c r="PL172" s="228"/>
      <c r="PM172" s="228"/>
      <c r="PN172" s="228"/>
      <c r="PO172" s="228"/>
      <c r="PP172" s="228"/>
      <c r="PQ172" s="228"/>
      <c r="PR172" s="228"/>
      <c r="PS172" s="228"/>
      <c r="PT172" s="228"/>
      <c r="PU172" s="228"/>
      <c r="PV172" s="228"/>
      <c r="PW172" s="228"/>
      <c r="PX172" s="228"/>
      <c r="PY172" s="228"/>
      <c r="PZ172" s="228"/>
      <c r="QA172" s="228"/>
      <c r="QB172" s="228"/>
      <c r="QC172" s="228"/>
      <c r="QD172" s="228"/>
      <c r="QE172" s="228"/>
      <c r="QF172" s="228"/>
      <c r="QG172" s="228"/>
      <c r="QH172" s="228"/>
      <c r="QI172" s="228"/>
      <c r="QJ172" s="228"/>
      <c r="QK172" s="228"/>
      <c r="QL172" s="228"/>
      <c r="QM172" s="228"/>
      <c r="QN172" s="228"/>
      <c r="QO172" s="228"/>
      <c r="QP172" s="228"/>
      <c r="QQ172" s="228"/>
      <c r="QR172" s="228"/>
      <c r="QS172" s="228"/>
      <c r="QT172" s="228"/>
      <c r="QU172" s="228"/>
      <c r="QV172" s="228"/>
      <c r="QW172" s="228"/>
      <c r="QX172" s="228"/>
      <c r="QY172" s="228"/>
      <c r="QZ172" s="228"/>
      <c r="RA172" s="228"/>
      <c r="RB172" s="228"/>
      <c r="RC172" s="228"/>
      <c r="RD172" s="228"/>
      <c r="RE172" s="228"/>
      <c r="RF172" s="228"/>
      <c r="RG172" s="228"/>
      <c r="RH172" s="228"/>
      <c r="RI172" s="228"/>
      <c r="RJ172" s="228"/>
      <c r="RK172" s="228"/>
      <c r="RL172" s="228"/>
      <c r="RM172" s="228"/>
      <c r="RN172" s="228"/>
      <c r="RO172" s="228"/>
      <c r="RP172" s="228"/>
      <c r="RQ172" s="228"/>
      <c r="RR172" s="228"/>
      <c r="RS172" s="228"/>
      <c r="RT172" s="228"/>
      <c r="RU172" s="228"/>
      <c r="RV172" s="228"/>
      <c r="RW172" s="228"/>
      <c r="RX172" s="228"/>
      <c r="RY172" s="228"/>
      <c r="RZ172" s="228"/>
      <c r="SA172" s="228"/>
      <c r="SB172" s="228"/>
      <c r="SC172" s="228"/>
      <c r="SD172" s="228"/>
      <c r="SE172" s="228"/>
      <c r="SF172" s="228"/>
      <c r="SG172" s="228"/>
      <c r="SH172" s="228"/>
      <c r="SI172" s="228"/>
      <c r="SJ172" s="228"/>
      <c r="SK172" s="228"/>
      <c r="SL172" s="228"/>
      <c r="SM172" s="228"/>
      <c r="SN172" s="228"/>
      <c r="SO172" s="228"/>
      <c r="SP172" s="228"/>
      <c r="SQ172" s="228"/>
      <c r="SR172" s="228"/>
      <c r="SS172" s="228"/>
      <c r="ST172" s="228"/>
      <c r="SU172" s="228"/>
      <c r="SV172" s="228"/>
      <c r="SW172" s="228"/>
      <c r="SX172" s="228"/>
      <c r="SY172" s="228"/>
      <c r="SZ172" s="228"/>
      <c r="TA172" s="228"/>
      <c r="TB172" s="228"/>
      <c r="TC172" s="228"/>
      <c r="TD172" s="228"/>
      <c r="TE172" s="228"/>
      <c r="TF172" s="228"/>
      <c r="TG172" s="228"/>
      <c r="TH172" s="228"/>
      <c r="TI172" s="228"/>
      <c r="TJ172" s="228"/>
      <c r="TK172" s="228"/>
      <c r="TL172" s="228"/>
      <c r="TM172" s="228"/>
      <c r="TN172" s="228"/>
      <c r="TO172" s="228"/>
      <c r="TP172" s="228"/>
      <c r="TQ172" s="228"/>
      <c r="TR172" s="228"/>
      <c r="TS172" s="228"/>
      <c r="TT172" s="228"/>
      <c r="TU172" s="228"/>
    </row>
    <row r="173" spans="1:541" s="201" customFormat="1" x14ac:dyDescent="0.25">
      <c r="A173" s="243"/>
      <c r="B173" s="244"/>
      <c r="F173" s="243"/>
      <c r="G173" s="243"/>
      <c r="H173" s="243"/>
      <c r="M173" s="243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 s="228"/>
      <c r="AX173" s="228"/>
      <c r="AY173" s="228"/>
      <c r="AZ173" s="228"/>
      <c r="BA173" s="228"/>
      <c r="BB173" s="228"/>
      <c r="BC173" s="228"/>
      <c r="BD173" s="228"/>
      <c r="BE173" s="228"/>
      <c r="BF173" s="228"/>
      <c r="BG173" s="228"/>
      <c r="BH173" s="228"/>
      <c r="BI173" s="228"/>
      <c r="BJ173" s="228"/>
      <c r="BK173" s="228"/>
      <c r="BL173" s="228"/>
      <c r="BM173" s="228"/>
      <c r="BN173" s="228"/>
      <c r="BO173" s="228"/>
      <c r="BP173" s="228"/>
      <c r="BQ173" s="228"/>
      <c r="BR173" s="228"/>
      <c r="BS173" s="228"/>
      <c r="BT173" s="228"/>
      <c r="BU173" s="228"/>
      <c r="BV173" s="228"/>
      <c r="BW173" s="228"/>
      <c r="BX173" s="228"/>
      <c r="BY173" s="228"/>
      <c r="BZ173" s="228"/>
      <c r="CA173" s="228"/>
      <c r="CB173" s="228"/>
      <c r="CC173" s="228"/>
      <c r="CD173" s="228"/>
      <c r="CE173" s="228"/>
      <c r="CF173" s="228"/>
      <c r="CG173" s="228"/>
      <c r="CH173" s="228"/>
      <c r="CI173" s="228"/>
      <c r="CJ173" s="228"/>
      <c r="CK173" s="228"/>
      <c r="CL173" s="228"/>
      <c r="CM173" s="228"/>
      <c r="CN173" s="228"/>
      <c r="CO173" s="228"/>
      <c r="CP173" s="228"/>
      <c r="CQ173" s="228"/>
      <c r="CR173" s="228"/>
      <c r="CS173" s="228"/>
      <c r="CT173" s="228"/>
      <c r="CU173" s="228"/>
      <c r="CV173" s="228"/>
      <c r="CW173" s="228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28"/>
      <c r="DJ173" s="228"/>
      <c r="DK173" s="228"/>
      <c r="DL173" s="228"/>
      <c r="DM173" s="228"/>
      <c r="DN173" s="228"/>
      <c r="DO173" s="228"/>
      <c r="DP173" s="228"/>
      <c r="DQ173" s="228"/>
      <c r="DR173" s="228"/>
      <c r="DS173" s="228"/>
      <c r="DT173" s="228"/>
      <c r="DU173" s="228"/>
      <c r="DV173" s="228"/>
      <c r="DW173" s="228"/>
      <c r="DX173" s="228"/>
      <c r="DY173" s="228"/>
      <c r="DZ173" s="228"/>
      <c r="EA173" s="228"/>
      <c r="EB173" s="228"/>
      <c r="EC173" s="228"/>
      <c r="ED173" s="228"/>
      <c r="EE173" s="228"/>
      <c r="EF173" s="228"/>
      <c r="EG173" s="228"/>
      <c r="EH173" s="228"/>
      <c r="EI173" s="228"/>
      <c r="EJ173" s="228"/>
      <c r="EK173" s="228"/>
      <c r="EL173" s="228"/>
      <c r="EM173" s="228"/>
      <c r="EN173" s="228"/>
      <c r="EO173" s="228"/>
      <c r="EP173" s="228"/>
      <c r="EQ173" s="228"/>
      <c r="ER173" s="228"/>
      <c r="ES173" s="228"/>
      <c r="ET173" s="228"/>
      <c r="EU173" s="228"/>
      <c r="EV173" s="228"/>
      <c r="EW173" s="228"/>
      <c r="EX173" s="228"/>
      <c r="EY173" s="228"/>
      <c r="EZ173" s="228"/>
      <c r="FA173" s="228"/>
      <c r="FB173" s="228"/>
      <c r="FC173" s="228"/>
      <c r="FD173" s="228"/>
      <c r="FE173" s="228"/>
      <c r="FF173" s="228"/>
      <c r="FG173" s="228"/>
      <c r="FH173" s="228"/>
      <c r="FI173" s="228"/>
      <c r="FJ173" s="228"/>
      <c r="FK173" s="228"/>
      <c r="FL173" s="228"/>
      <c r="FM173" s="228"/>
      <c r="FN173" s="228"/>
      <c r="FO173" s="228"/>
      <c r="FP173" s="228"/>
      <c r="FQ173" s="228"/>
      <c r="FR173" s="228"/>
      <c r="FS173" s="228"/>
      <c r="FT173" s="228"/>
      <c r="FU173" s="228"/>
      <c r="FV173" s="228"/>
      <c r="FW173" s="228"/>
      <c r="FX173" s="228"/>
      <c r="FY173" s="228"/>
      <c r="FZ173" s="228"/>
      <c r="GA173" s="228"/>
      <c r="GB173" s="228"/>
      <c r="GC173" s="228"/>
      <c r="GD173" s="228"/>
      <c r="GE173" s="228"/>
      <c r="GF173" s="228"/>
      <c r="GG173" s="228"/>
      <c r="GH173" s="228"/>
      <c r="GI173" s="228"/>
      <c r="GJ173" s="228"/>
      <c r="GK173" s="228"/>
      <c r="GL173" s="228"/>
      <c r="GM173" s="228"/>
      <c r="GN173" s="228"/>
      <c r="GO173" s="228"/>
      <c r="GP173" s="228"/>
      <c r="GQ173" s="228"/>
      <c r="GR173" s="228"/>
      <c r="GS173" s="228"/>
      <c r="GT173" s="228"/>
      <c r="GU173" s="228"/>
      <c r="GV173" s="228"/>
      <c r="GW173" s="228"/>
      <c r="GX173" s="228"/>
      <c r="GY173" s="228"/>
      <c r="GZ173" s="228"/>
      <c r="HA173" s="228"/>
      <c r="HB173" s="228"/>
      <c r="HC173" s="228"/>
      <c r="HD173" s="228"/>
      <c r="HE173" s="228"/>
      <c r="HF173" s="228"/>
      <c r="HG173" s="228"/>
      <c r="HH173" s="228"/>
      <c r="HI173" s="228"/>
      <c r="HJ173" s="228"/>
      <c r="HK173" s="228"/>
      <c r="HL173" s="228"/>
      <c r="HM173" s="228"/>
      <c r="HN173" s="228"/>
      <c r="HO173" s="228"/>
      <c r="HP173" s="228"/>
      <c r="HQ173" s="228"/>
      <c r="HR173" s="228"/>
      <c r="HS173" s="228"/>
      <c r="HT173" s="228"/>
      <c r="HU173" s="228"/>
      <c r="HV173" s="228"/>
      <c r="HW173" s="228"/>
      <c r="HX173" s="228"/>
      <c r="HY173" s="228"/>
      <c r="HZ173" s="228"/>
      <c r="IA173" s="228"/>
      <c r="IB173" s="228"/>
      <c r="IC173" s="228"/>
      <c r="ID173" s="228"/>
      <c r="IE173" s="228"/>
      <c r="IF173" s="228"/>
      <c r="IG173" s="228"/>
      <c r="IH173" s="228"/>
      <c r="II173" s="228"/>
      <c r="IJ173" s="228"/>
      <c r="IK173" s="228"/>
      <c r="IL173" s="228"/>
      <c r="IM173" s="228"/>
      <c r="IN173" s="228"/>
      <c r="IO173" s="228"/>
      <c r="IP173" s="228"/>
      <c r="IQ173" s="228"/>
      <c r="IR173" s="228"/>
      <c r="IS173" s="228"/>
      <c r="IT173" s="228"/>
      <c r="IU173" s="228"/>
      <c r="IV173" s="228"/>
      <c r="IW173" s="228"/>
      <c r="IX173" s="228"/>
      <c r="IY173" s="228"/>
      <c r="IZ173" s="228"/>
      <c r="JA173" s="228"/>
      <c r="JB173" s="228"/>
      <c r="JC173" s="228"/>
      <c r="JD173" s="228"/>
      <c r="JE173" s="228"/>
      <c r="JF173" s="228"/>
      <c r="JG173" s="228"/>
      <c r="JH173" s="228"/>
      <c r="JI173" s="228"/>
      <c r="JJ173" s="228"/>
      <c r="JK173" s="228"/>
      <c r="JL173" s="228"/>
      <c r="JM173" s="228"/>
      <c r="JN173" s="228"/>
      <c r="JO173" s="228"/>
      <c r="JP173" s="228"/>
      <c r="JQ173" s="228"/>
      <c r="JR173" s="228"/>
      <c r="JS173" s="228"/>
      <c r="JT173" s="228"/>
      <c r="JU173" s="228"/>
      <c r="JV173" s="228"/>
      <c r="JW173" s="228"/>
      <c r="JX173" s="228"/>
      <c r="JY173" s="228"/>
      <c r="JZ173" s="228"/>
      <c r="KA173" s="228"/>
      <c r="KB173" s="228"/>
      <c r="KC173" s="228"/>
      <c r="KD173" s="228"/>
      <c r="KE173" s="228"/>
      <c r="KF173" s="228"/>
      <c r="KG173" s="228"/>
      <c r="KH173" s="228"/>
      <c r="KI173" s="228"/>
      <c r="KJ173" s="228"/>
      <c r="KK173" s="228"/>
      <c r="KL173" s="228"/>
      <c r="KM173" s="228"/>
      <c r="KN173" s="228"/>
      <c r="KO173" s="228"/>
      <c r="KP173" s="228"/>
      <c r="KQ173" s="228"/>
      <c r="KR173" s="228"/>
      <c r="KS173" s="228"/>
      <c r="KT173" s="228"/>
      <c r="KU173" s="228"/>
      <c r="KV173" s="228"/>
      <c r="KW173" s="228"/>
      <c r="KX173" s="228"/>
      <c r="KY173" s="228"/>
      <c r="KZ173" s="228"/>
      <c r="LA173" s="228"/>
      <c r="LB173" s="228"/>
      <c r="LC173" s="228"/>
      <c r="LD173" s="228"/>
      <c r="LE173" s="228"/>
      <c r="LF173" s="228"/>
      <c r="LG173" s="228"/>
      <c r="LH173" s="228"/>
      <c r="LI173" s="228"/>
      <c r="LJ173" s="228"/>
      <c r="LK173" s="228"/>
      <c r="LL173" s="228"/>
      <c r="LM173" s="228"/>
      <c r="LN173" s="228"/>
      <c r="LO173" s="228"/>
      <c r="LP173" s="228"/>
      <c r="LQ173" s="228"/>
      <c r="LR173" s="228"/>
      <c r="LS173" s="228"/>
      <c r="LT173" s="228"/>
      <c r="LU173" s="228"/>
      <c r="LV173" s="228"/>
      <c r="LW173" s="228"/>
      <c r="LX173" s="228"/>
      <c r="LY173" s="228"/>
      <c r="LZ173" s="228"/>
      <c r="MA173" s="228"/>
      <c r="MB173" s="228"/>
      <c r="MC173" s="228"/>
      <c r="MD173" s="228"/>
      <c r="ME173" s="228"/>
      <c r="MF173" s="228"/>
      <c r="MG173" s="228"/>
      <c r="MH173" s="228"/>
      <c r="MI173" s="228"/>
      <c r="MJ173" s="228"/>
      <c r="MK173" s="228"/>
      <c r="ML173" s="228"/>
      <c r="MM173" s="228"/>
      <c r="MN173" s="228"/>
      <c r="MO173" s="228"/>
      <c r="MP173" s="228"/>
      <c r="MQ173" s="228"/>
      <c r="MR173" s="228"/>
      <c r="MS173" s="228"/>
      <c r="MT173" s="228"/>
      <c r="MU173" s="228"/>
      <c r="MV173" s="228"/>
      <c r="MW173" s="228"/>
      <c r="MX173" s="228"/>
      <c r="MY173" s="228"/>
      <c r="MZ173" s="228"/>
      <c r="NA173" s="228"/>
      <c r="NB173" s="228"/>
      <c r="NC173" s="228"/>
      <c r="ND173" s="228"/>
      <c r="NE173" s="228"/>
      <c r="NF173" s="228"/>
      <c r="NG173" s="228"/>
      <c r="NH173" s="228"/>
      <c r="NI173" s="228"/>
      <c r="NJ173" s="228"/>
      <c r="NK173" s="228"/>
      <c r="NL173" s="228"/>
      <c r="NM173" s="228"/>
      <c r="NN173" s="228"/>
      <c r="NO173" s="228"/>
      <c r="NP173" s="228"/>
      <c r="NQ173" s="228"/>
      <c r="NR173" s="228"/>
      <c r="NS173" s="228"/>
      <c r="NT173" s="228"/>
      <c r="NU173" s="228"/>
      <c r="NV173" s="228"/>
      <c r="NW173" s="228"/>
      <c r="NX173" s="228"/>
      <c r="NY173" s="228"/>
      <c r="NZ173" s="228"/>
      <c r="OA173" s="228"/>
      <c r="OB173" s="228"/>
      <c r="OC173" s="228"/>
      <c r="OD173" s="228"/>
      <c r="OE173" s="228"/>
      <c r="OF173" s="228"/>
      <c r="OG173" s="228"/>
      <c r="OH173" s="228"/>
      <c r="OI173" s="228"/>
      <c r="OJ173" s="228"/>
      <c r="OK173" s="228"/>
      <c r="OL173" s="228"/>
      <c r="OM173" s="228"/>
      <c r="ON173" s="228"/>
      <c r="OO173" s="228"/>
      <c r="OP173" s="228"/>
      <c r="OQ173" s="228"/>
      <c r="OR173" s="228"/>
      <c r="OS173" s="228"/>
      <c r="OT173" s="228"/>
      <c r="OU173" s="228"/>
      <c r="OV173" s="228"/>
      <c r="OW173" s="228"/>
      <c r="OX173" s="228"/>
      <c r="OY173" s="228"/>
      <c r="OZ173" s="228"/>
      <c r="PA173" s="228"/>
      <c r="PB173" s="228"/>
      <c r="PC173" s="228"/>
      <c r="PD173" s="228"/>
      <c r="PE173" s="228"/>
      <c r="PF173" s="228"/>
      <c r="PG173" s="228"/>
      <c r="PH173" s="228"/>
      <c r="PI173" s="228"/>
      <c r="PJ173" s="228"/>
      <c r="PK173" s="228"/>
      <c r="PL173" s="228"/>
      <c r="PM173" s="228"/>
      <c r="PN173" s="228"/>
      <c r="PO173" s="228"/>
      <c r="PP173" s="228"/>
      <c r="PQ173" s="228"/>
      <c r="PR173" s="228"/>
      <c r="PS173" s="228"/>
      <c r="PT173" s="228"/>
      <c r="PU173" s="228"/>
      <c r="PV173" s="228"/>
      <c r="PW173" s="228"/>
      <c r="PX173" s="228"/>
      <c r="PY173" s="228"/>
      <c r="PZ173" s="228"/>
      <c r="QA173" s="228"/>
      <c r="QB173" s="228"/>
      <c r="QC173" s="228"/>
      <c r="QD173" s="228"/>
      <c r="QE173" s="228"/>
      <c r="QF173" s="228"/>
      <c r="QG173" s="228"/>
      <c r="QH173" s="228"/>
      <c r="QI173" s="228"/>
      <c r="QJ173" s="228"/>
      <c r="QK173" s="228"/>
      <c r="QL173" s="228"/>
      <c r="QM173" s="228"/>
      <c r="QN173" s="228"/>
      <c r="QO173" s="228"/>
      <c r="QP173" s="228"/>
      <c r="QQ173" s="228"/>
      <c r="QR173" s="228"/>
      <c r="QS173" s="228"/>
      <c r="QT173" s="228"/>
      <c r="QU173" s="228"/>
      <c r="QV173" s="228"/>
      <c r="QW173" s="228"/>
      <c r="QX173" s="228"/>
      <c r="QY173" s="228"/>
      <c r="QZ173" s="228"/>
      <c r="RA173" s="228"/>
      <c r="RB173" s="228"/>
      <c r="RC173" s="228"/>
      <c r="RD173" s="228"/>
      <c r="RE173" s="228"/>
      <c r="RF173" s="228"/>
      <c r="RG173" s="228"/>
      <c r="RH173" s="228"/>
      <c r="RI173" s="228"/>
      <c r="RJ173" s="228"/>
      <c r="RK173" s="228"/>
      <c r="RL173" s="228"/>
      <c r="RM173" s="228"/>
      <c r="RN173" s="228"/>
      <c r="RO173" s="228"/>
      <c r="RP173" s="228"/>
      <c r="RQ173" s="228"/>
      <c r="RR173" s="228"/>
      <c r="RS173" s="228"/>
      <c r="RT173" s="228"/>
      <c r="RU173" s="228"/>
      <c r="RV173" s="228"/>
      <c r="RW173" s="228"/>
      <c r="RX173" s="228"/>
      <c r="RY173" s="228"/>
      <c r="RZ173" s="228"/>
      <c r="SA173" s="228"/>
      <c r="SB173" s="228"/>
      <c r="SC173" s="228"/>
      <c r="SD173" s="228"/>
      <c r="SE173" s="228"/>
      <c r="SF173" s="228"/>
      <c r="SG173" s="228"/>
      <c r="SH173" s="228"/>
      <c r="SI173" s="228"/>
      <c r="SJ173" s="228"/>
      <c r="SK173" s="228"/>
      <c r="SL173" s="228"/>
      <c r="SM173" s="228"/>
      <c r="SN173" s="228"/>
      <c r="SO173" s="228"/>
      <c r="SP173" s="228"/>
      <c r="SQ173" s="228"/>
      <c r="SR173" s="228"/>
      <c r="SS173" s="228"/>
      <c r="ST173" s="228"/>
      <c r="SU173" s="228"/>
      <c r="SV173" s="228"/>
      <c r="SW173" s="228"/>
      <c r="SX173" s="228"/>
      <c r="SY173" s="228"/>
      <c r="SZ173" s="228"/>
      <c r="TA173" s="228"/>
      <c r="TB173" s="228"/>
      <c r="TC173" s="228"/>
      <c r="TD173" s="228"/>
      <c r="TE173" s="228"/>
      <c r="TF173" s="228"/>
      <c r="TG173" s="228"/>
      <c r="TH173" s="228"/>
      <c r="TI173" s="228"/>
      <c r="TJ173" s="228"/>
      <c r="TK173" s="228"/>
      <c r="TL173" s="228"/>
      <c r="TM173" s="228"/>
      <c r="TN173" s="228"/>
      <c r="TO173" s="228"/>
      <c r="TP173" s="228"/>
      <c r="TQ173" s="228"/>
      <c r="TR173" s="228"/>
      <c r="TS173" s="228"/>
      <c r="TT173" s="228"/>
      <c r="TU173" s="228"/>
    </row>
    <row r="175" spans="1:541" x14ac:dyDescent="0.25">
      <c r="B175" s="228"/>
    </row>
    <row r="176" spans="1:541" x14ac:dyDescent="0.25">
      <c r="B176" s="228"/>
    </row>
    <row r="177" spans="2:2" x14ac:dyDescent="0.25">
      <c r="B177" s="228"/>
    </row>
    <row r="178" spans="2:2" x14ac:dyDescent="0.25">
      <c r="B178" s="228"/>
    </row>
    <row r="179" spans="2:2" x14ac:dyDescent="0.25">
      <c r="B179" s="228"/>
    </row>
    <row r="180" spans="2:2" x14ac:dyDescent="0.25">
      <c r="B180" s="228"/>
    </row>
  </sheetData>
  <autoFilter ref="A3:Q173" xr:uid="{543B7DA6-0DFE-4B9F-B83C-68D4BC470204}">
    <filterColumn colId="6" showButton="0"/>
    <filterColumn colId="8" showButton="0"/>
    <filterColumn colId="10" showButton="0"/>
    <filterColumn colId="13" showButton="0"/>
    <filterColumn colId="14" showButton="0"/>
  </autoFilter>
  <mergeCells count="13">
    <mergeCell ref="A3:A4"/>
    <mergeCell ref="B3:B4"/>
    <mergeCell ref="A1:Q1"/>
    <mergeCell ref="A2:Q2"/>
    <mergeCell ref="D3:D4"/>
    <mergeCell ref="C3:C4"/>
    <mergeCell ref="K3:L3"/>
    <mergeCell ref="N3:P3"/>
    <mergeCell ref="M3:M4"/>
    <mergeCell ref="E3:E4"/>
    <mergeCell ref="F3:F4"/>
    <mergeCell ref="I3:J3"/>
    <mergeCell ref="G3:H3"/>
  </mergeCells>
  <conditionalFormatting sqref="J5">
    <cfRule type="cellIs" priority="1" stopIfTrue="1" operator="greaterThan">
      <formula>"13.11.2018"</formula>
    </cfRule>
  </conditionalFormatting>
  <pageMargins left="0.7" right="0.7" top="0.75" bottom="0.75" header="0.3" footer="0.3"/>
  <pageSetup scale="81" orientation="portrait" r:id="rId1"/>
  <colBreaks count="1" manualBreakCount="1">
    <brk id="4" max="170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971C-E88A-4953-91CD-CB7BEF139169}">
  <dimension ref="B1:H83"/>
  <sheetViews>
    <sheetView zoomScale="80" zoomScaleNormal="80" workbookViewId="0">
      <selection activeCell="F13" sqref="F13"/>
    </sheetView>
  </sheetViews>
  <sheetFormatPr defaultColWidth="9.140625" defaultRowHeight="15" x14ac:dyDescent="0.25"/>
  <cols>
    <col min="1" max="1" width="3.7109375" style="338" customWidth="1"/>
    <col min="2" max="2" width="3.85546875" style="341" customWidth="1"/>
    <col min="3" max="3" width="81.7109375" style="354" customWidth="1"/>
    <col min="4" max="4" width="30.42578125" style="338" customWidth="1"/>
    <col min="5" max="5" width="26.5703125" style="355" customWidth="1"/>
    <col min="6" max="6" width="24.28515625" style="338" bestFit="1" customWidth="1"/>
    <col min="7" max="8" width="22.28515625" style="338" bestFit="1" customWidth="1"/>
    <col min="9" max="16384" width="9.140625" style="338"/>
  </cols>
  <sheetData>
    <row r="1" spans="2:8" ht="18.75" x14ac:dyDescent="0.25">
      <c r="B1" s="337" t="s">
        <v>410</v>
      </c>
      <c r="C1" s="338"/>
      <c r="D1" s="339"/>
      <c r="E1" s="340"/>
      <c r="F1" s="339"/>
      <c r="G1" s="339"/>
      <c r="H1" s="339"/>
    </row>
    <row r="2" spans="2:8" ht="18.75" x14ac:dyDescent="0.25">
      <c r="C2" s="339"/>
      <c r="D2" s="339"/>
      <c r="E2" s="340"/>
      <c r="F2" s="339"/>
      <c r="G2" s="339"/>
      <c r="H2" s="339"/>
    </row>
    <row r="3" spans="2:8" ht="18.75" x14ac:dyDescent="0.25">
      <c r="B3" s="337" t="s">
        <v>1240</v>
      </c>
      <c r="C3" s="338"/>
      <c r="D3" s="339"/>
      <c r="E3" s="340"/>
      <c r="F3" s="339"/>
      <c r="G3" s="339"/>
      <c r="H3" s="339"/>
    </row>
    <row r="5" spans="2:8" x14ac:dyDescent="0.25">
      <c r="B5" s="342">
        <v>1</v>
      </c>
      <c r="C5" s="285" t="s">
        <v>1193</v>
      </c>
      <c r="D5" s="343" t="s">
        <v>359</v>
      </c>
      <c r="E5" s="343"/>
      <c r="F5" s="285" t="s">
        <v>1241</v>
      </c>
      <c r="G5" s="343" t="s">
        <v>1242</v>
      </c>
      <c r="H5" s="343"/>
    </row>
    <row r="6" spans="2:8" x14ac:dyDescent="0.25">
      <c r="B6" s="344"/>
      <c r="C6" s="285" t="s">
        <v>1194</v>
      </c>
      <c r="D6" s="285" t="s">
        <v>1243</v>
      </c>
      <c r="E6" s="343"/>
      <c r="F6" s="285" t="s">
        <v>1244</v>
      </c>
      <c r="G6" s="343">
        <v>8.0846999999999998</v>
      </c>
      <c r="H6" s="343"/>
    </row>
    <row r="7" spans="2:8" x14ac:dyDescent="0.25">
      <c r="B7" s="344"/>
      <c r="C7" s="285" t="s">
        <v>1195</v>
      </c>
      <c r="D7" s="343" t="s">
        <v>1245</v>
      </c>
      <c r="E7" s="285"/>
      <c r="F7" s="285"/>
      <c r="G7" s="285"/>
      <c r="H7" s="285"/>
    </row>
    <row r="8" spans="2:8" s="346" customFormat="1" x14ac:dyDescent="0.25">
      <c r="B8" s="344"/>
      <c r="C8" s="286" t="s">
        <v>112</v>
      </c>
      <c r="D8" s="286" t="s">
        <v>474</v>
      </c>
      <c r="E8" s="286" t="s">
        <v>1246</v>
      </c>
      <c r="F8" s="345" t="s">
        <v>1247</v>
      </c>
      <c r="G8" s="345" t="s">
        <v>1248</v>
      </c>
      <c r="H8" s="345" t="s">
        <v>1249</v>
      </c>
    </row>
    <row r="9" spans="2:8" x14ac:dyDescent="0.25">
      <c r="B9" s="344"/>
      <c r="C9" s="287" t="s">
        <v>1196</v>
      </c>
      <c r="D9" s="288" t="s">
        <v>1250</v>
      </c>
      <c r="E9" s="288" t="s">
        <v>365</v>
      </c>
      <c r="F9" s="347">
        <v>47626</v>
      </c>
      <c r="G9" s="289" t="s">
        <v>1251</v>
      </c>
      <c r="H9" s="289" t="s">
        <v>1251</v>
      </c>
    </row>
    <row r="10" spans="2:8" x14ac:dyDescent="0.25">
      <c r="B10" s="344"/>
      <c r="C10" s="290" t="s">
        <v>1197</v>
      </c>
      <c r="D10" s="290" t="s">
        <v>480</v>
      </c>
      <c r="E10" s="347" t="s">
        <v>1252</v>
      </c>
      <c r="F10" s="347" t="s">
        <v>1253</v>
      </c>
      <c r="G10" s="289" t="s">
        <v>1251</v>
      </c>
      <c r="H10" s="289" t="s">
        <v>1251</v>
      </c>
    </row>
    <row r="11" spans="2:8" x14ac:dyDescent="0.25">
      <c r="B11" s="344"/>
      <c r="C11" s="290" t="s">
        <v>1198</v>
      </c>
      <c r="D11" s="290" t="s">
        <v>1254</v>
      </c>
      <c r="E11" s="347" t="s">
        <v>1252</v>
      </c>
      <c r="F11" s="347">
        <v>46037</v>
      </c>
      <c r="G11" s="287" t="s">
        <v>1255</v>
      </c>
      <c r="H11" s="287" t="s">
        <v>1166</v>
      </c>
    </row>
    <row r="12" spans="2:8" x14ac:dyDescent="0.25">
      <c r="B12" s="344"/>
      <c r="C12" s="288" t="s">
        <v>1199</v>
      </c>
      <c r="D12" s="290" t="s">
        <v>1256</v>
      </c>
      <c r="E12" s="347" t="s">
        <v>1252</v>
      </c>
      <c r="F12" s="347">
        <v>46052</v>
      </c>
      <c r="G12" s="287" t="s">
        <v>1255</v>
      </c>
      <c r="H12" s="287" t="s">
        <v>1166</v>
      </c>
    </row>
    <row r="13" spans="2:8" x14ac:dyDescent="0.25">
      <c r="B13" s="344"/>
      <c r="C13" s="290" t="s">
        <v>1200</v>
      </c>
      <c r="D13" s="290" t="s">
        <v>1254</v>
      </c>
      <c r="E13" s="347" t="s">
        <v>1252</v>
      </c>
      <c r="F13" s="347">
        <v>46037</v>
      </c>
      <c r="G13" s="287" t="s">
        <v>1255</v>
      </c>
      <c r="H13" s="287" t="s">
        <v>1166</v>
      </c>
    </row>
    <row r="14" spans="2:8" x14ac:dyDescent="0.25">
      <c r="B14" s="344"/>
      <c r="C14" s="290" t="s">
        <v>1201</v>
      </c>
      <c r="D14" s="290" t="s">
        <v>1256</v>
      </c>
      <c r="E14" s="347" t="s">
        <v>1252</v>
      </c>
      <c r="F14" s="347">
        <v>46052</v>
      </c>
      <c r="G14" s="287" t="s">
        <v>1255</v>
      </c>
      <c r="H14" s="287" t="s">
        <v>1166</v>
      </c>
    </row>
    <row r="15" spans="2:8" ht="14.25" customHeight="1" x14ac:dyDescent="0.25">
      <c r="B15" s="344"/>
      <c r="C15" s="287" t="s">
        <v>1202</v>
      </c>
      <c r="D15" s="290" t="s">
        <v>1257</v>
      </c>
      <c r="E15" s="347" t="s">
        <v>1252</v>
      </c>
      <c r="F15" s="347">
        <v>46029</v>
      </c>
      <c r="G15" s="287" t="s">
        <v>1255</v>
      </c>
      <c r="H15" s="287" t="s">
        <v>1166</v>
      </c>
    </row>
    <row r="16" spans="2:8" x14ac:dyDescent="0.25">
      <c r="B16" s="344"/>
      <c r="C16" s="289"/>
      <c r="D16" s="289"/>
      <c r="E16" s="290"/>
      <c r="F16" s="347"/>
      <c r="G16" s="348"/>
      <c r="H16" s="348"/>
    </row>
    <row r="17" spans="2:8" x14ac:dyDescent="0.25">
      <c r="B17" s="344"/>
      <c r="C17" s="288" t="s">
        <v>1203</v>
      </c>
      <c r="D17" s="287" t="s">
        <v>1258</v>
      </c>
      <c r="E17" s="347" t="s">
        <v>1259</v>
      </c>
      <c r="F17" s="347">
        <v>46026</v>
      </c>
      <c r="G17" s="287" t="s">
        <v>1255</v>
      </c>
      <c r="H17" s="287" t="s">
        <v>1166</v>
      </c>
    </row>
    <row r="18" spans="2:8" ht="14.25" customHeight="1" x14ac:dyDescent="0.25">
      <c r="B18" s="344"/>
      <c r="C18" s="288" t="s">
        <v>1204</v>
      </c>
      <c r="D18" s="287" t="s">
        <v>1260</v>
      </c>
      <c r="E18" s="347" t="s">
        <v>1252</v>
      </c>
      <c r="F18" s="347"/>
      <c r="G18" s="287" t="s">
        <v>1255</v>
      </c>
      <c r="H18" s="287" t="s">
        <v>1166</v>
      </c>
    </row>
    <row r="19" spans="2:8" x14ac:dyDescent="0.25">
      <c r="B19" s="344"/>
      <c r="C19" s="287" t="s">
        <v>1205</v>
      </c>
      <c r="D19" s="287" t="s">
        <v>1258</v>
      </c>
      <c r="E19" s="288" t="s">
        <v>1261</v>
      </c>
      <c r="F19" s="347"/>
      <c r="G19" s="287" t="s">
        <v>1255</v>
      </c>
      <c r="H19" s="287" t="s">
        <v>1166</v>
      </c>
    </row>
    <row r="20" spans="2:8" ht="14.25" customHeight="1" x14ac:dyDescent="0.25">
      <c r="B20" s="344"/>
      <c r="C20" s="287" t="s">
        <v>1206</v>
      </c>
      <c r="D20" s="287" t="s">
        <v>1262</v>
      </c>
      <c r="E20" s="347" t="s">
        <v>1252</v>
      </c>
      <c r="F20" s="347"/>
      <c r="G20" s="287" t="s">
        <v>1255</v>
      </c>
      <c r="H20" s="287" t="s">
        <v>1166</v>
      </c>
    </row>
    <row r="21" spans="2:8" ht="14.25" customHeight="1" x14ac:dyDescent="0.25">
      <c r="B21" s="344"/>
      <c r="C21" s="287" t="s">
        <v>1207</v>
      </c>
      <c r="D21" s="287" t="s">
        <v>1262</v>
      </c>
      <c r="E21" s="347" t="s">
        <v>1252</v>
      </c>
      <c r="F21" s="347"/>
      <c r="G21" s="287" t="s">
        <v>1255</v>
      </c>
      <c r="H21" s="287" t="s">
        <v>1166</v>
      </c>
    </row>
    <row r="22" spans="2:8" ht="14.25" customHeight="1" x14ac:dyDescent="0.25">
      <c r="B22" s="344"/>
      <c r="C22" s="287" t="s">
        <v>1208</v>
      </c>
      <c r="D22" s="287" t="s">
        <v>1263</v>
      </c>
      <c r="E22" s="347" t="s">
        <v>1252</v>
      </c>
      <c r="F22" s="347"/>
      <c r="G22" s="289" t="s">
        <v>1264</v>
      </c>
      <c r="H22" s="289" t="s">
        <v>1265</v>
      </c>
    </row>
    <row r="23" spans="2:8" x14ac:dyDescent="0.25">
      <c r="B23" s="344"/>
      <c r="C23" s="289"/>
      <c r="D23" s="289"/>
      <c r="E23" s="290"/>
      <c r="F23" s="347"/>
      <c r="G23" s="348"/>
      <c r="H23" s="348"/>
    </row>
    <row r="24" spans="2:8" ht="14.25" customHeight="1" x14ac:dyDescent="0.25">
      <c r="B24" s="344"/>
      <c r="C24" s="287" t="s">
        <v>1209</v>
      </c>
      <c r="D24" s="288" t="s">
        <v>1266</v>
      </c>
      <c r="E24" s="347" t="s">
        <v>1252</v>
      </c>
      <c r="F24" s="347">
        <v>45759</v>
      </c>
      <c r="G24" s="287" t="s">
        <v>1255</v>
      </c>
      <c r="H24" s="287" t="s">
        <v>1166</v>
      </c>
    </row>
    <row r="25" spans="2:8" ht="14.25" customHeight="1" x14ac:dyDescent="0.25">
      <c r="B25" s="344"/>
      <c r="C25" s="287" t="s">
        <v>1210</v>
      </c>
      <c r="D25" s="288" t="s">
        <v>1267</v>
      </c>
      <c r="E25" s="347" t="s">
        <v>1252</v>
      </c>
      <c r="F25" s="290" t="s">
        <v>1268</v>
      </c>
      <c r="G25" s="287" t="s">
        <v>1255</v>
      </c>
      <c r="H25" s="287" t="s">
        <v>1166</v>
      </c>
    </row>
    <row r="26" spans="2:8" ht="14.25" customHeight="1" x14ac:dyDescent="0.25">
      <c r="B26" s="344"/>
      <c r="C26" s="287"/>
      <c r="D26" s="349"/>
      <c r="E26" s="290"/>
      <c r="F26" s="347"/>
      <c r="G26" s="348"/>
      <c r="H26" s="348"/>
    </row>
    <row r="27" spans="2:8" ht="14.25" customHeight="1" x14ac:dyDescent="0.25">
      <c r="B27" s="344"/>
      <c r="C27" s="287" t="s">
        <v>1211</v>
      </c>
      <c r="D27" s="288" t="s">
        <v>1269</v>
      </c>
      <c r="E27" s="347" t="s">
        <v>1252</v>
      </c>
      <c r="F27" s="347" t="s">
        <v>1270</v>
      </c>
      <c r="G27" s="287" t="s">
        <v>1255</v>
      </c>
      <c r="H27" s="287" t="s">
        <v>1166</v>
      </c>
    </row>
    <row r="28" spans="2:8" ht="14.25" customHeight="1" x14ac:dyDescent="0.25">
      <c r="B28" s="344"/>
      <c r="C28" s="287" t="s">
        <v>1212</v>
      </c>
      <c r="D28" s="288" t="s">
        <v>1269</v>
      </c>
      <c r="E28" s="347" t="s">
        <v>1252</v>
      </c>
      <c r="F28" s="347" t="s">
        <v>1270</v>
      </c>
      <c r="G28" s="287" t="s">
        <v>1255</v>
      </c>
      <c r="H28" s="287" t="s">
        <v>1166</v>
      </c>
    </row>
    <row r="29" spans="2:8" ht="14.25" customHeight="1" x14ac:dyDescent="0.25">
      <c r="B29" s="344"/>
      <c r="C29" s="287" t="s">
        <v>1213</v>
      </c>
      <c r="D29" s="288" t="s">
        <v>1269</v>
      </c>
      <c r="E29" s="347" t="s">
        <v>1252</v>
      </c>
      <c r="F29" s="347" t="s">
        <v>1270</v>
      </c>
      <c r="G29" s="287" t="s">
        <v>1255</v>
      </c>
      <c r="H29" s="287" t="s">
        <v>1166</v>
      </c>
    </row>
    <row r="30" spans="2:8" ht="14.25" customHeight="1" x14ac:dyDescent="0.25">
      <c r="B30" s="344"/>
      <c r="C30" s="287" t="s">
        <v>1214</v>
      </c>
      <c r="D30" s="288" t="s">
        <v>1269</v>
      </c>
      <c r="E30" s="347" t="s">
        <v>1252</v>
      </c>
      <c r="F30" s="347" t="s">
        <v>1270</v>
      </c>
      <c r="G30" s="287" t="s">
        <v>1255</v>
      </c>
      <c r="H30" s="287" t="s">
        <v>1166</v>
      </c>
    </row>
    <row r="31" spans="2:8" ht="14.25" customHeight="1" x14ac:dyDescent="0.25">
      <c r="B31" s="344"/>
      <c r="C31" s="287" t="s">
        <v>1215</v>
      </c>
      <c r="D31" s="288" t="s">
        <v>1269</v>
      </c>
      <c r="E31" s="347" t="s">
        <v>1252</v>
      </c>
      <c r="F31" s="347" t="s">
        <v>1270</v>
      </c>
      <c r="G31" s="287" t="s">
        <v>1255</v>
      </c>
      <c r="H31" s="287" t="s">
        <v>1166</v>
      </c>
    </row>
    <row r="32" spans="2:8" ht="14.25" customHeight="1" x14ac:dyDescent="0.25">
      <c r="B32" s="344"/>
      <c r="C32" s="287" t="s">
        <v>1216</v>
      </c>
      <c r="D32" s="288" t="s">
        <v>1269</v>
      </c>
      <c r="E32" s="347" t="s">
        <v>1252</v>
      </c>
      <c r="F32" s="347" t="s">
        <v>1270</v>
      </c>
      <c r="G32" s="287" t="s">
        <v>1255</v>
      </c>
      <c r="H32" s="287" t="s">
        <v>1166</v>
      </c>
    </row>
    <row r="33" spans="2:8" ht="14.25" customHeight="1" x14ac:dyDescent="0.25">
      <c r="B33" s="344"/>
      <c r="C33" s="287"/>
      <c r="D33" s="288"/>
      <c r="E33" s="290"/>
      <c r="F33" s="347"/>
      <c r="G33" s="290"/>
      <c r="H33" s="290"/>
    </row>
    <row r="34" spans="2:8" s="346" customFormat="1" ht="14.25" customHeight="1" x14ac:dyDescent="0.25">
      <c r="B34" s="344"/>
      <c r="C34" s="350" t="s">
        <v>1271</v>
      </c>
      <c r="D34" s="351"/>
      <c r="E34" s="286"/>
      <c r="F34" s="347"/>
      <c r="G34" s="286"/>
      <c r="H34" s="286"/>
    </row>
    <row r="35" spans="2:8" ht="14.25" customHeight="1" x14ac:dyDescent="0.25">
      <c r="B35" s="352"/>
      <c r="C35" s="287" t="s">
        <v>1272</v>
      </c>
      <c r="D35" s="288" t="s">
        <v>1273</v>
      </c>
      <c r="E35" s="347" t="s">
        <v>1252</v>
      </c>
      <c r="F35" s="288" t="s">
        <v>1273</v>
      </c>
      <c r="G35" s="290" t="s">
        <v>1166</v>
      </c>
      <c r="H35" s="290" t="s">
        <v>1166</v>
      </c>
    </row>
    <row r="36" spans="2:8" x14ac:dyDescent="0.25">
      <c r="B36" s="353"/>
    </row>
    <row r="37" spans="2:8" x14ac:dyDescent="0.25">
      <c r="B37" s="356">
        <v>2</v>
      </c>
      <c r="C37" s="285" t="s">
        <v>1193</v>
      </c>
      <c r="D37" s="343" t="s">
        <v>379</v>
      </c>
      <c r="E37" s="343"/>
      <c r="F37" s="343" t="s">
        <v>1241</v>
      </c>
      <c r="G37" s="285" t="s">
        <v>1242</v>
      </c>
      <c r="H37" s="285"/>
    </row>
    <row r="38" spans="2:8" x14ac:dyDescent="0.25">
      <c r="B38" s="356"/>
      <c r="C38" s="285" t="s">
        <v>1194</v>
      </c>
      <c r="D38" s="285" t="s">
        <v>381</v>
      </c>
      <c r="E38" s="285"/>
      <c r="F38" s="343" t="s">
        <v>1244</v>
      </c>
      <c r="G38" s="285">
        <v>5.0599999999999996</v>
      </c>
      <c r="H38" s="285"/>
    </row>
    <row r="39" spans="2:8" x14ac:dyDescent="0.25">
      <c r="B39" s="356"/>
      <c r="C39" s="285" t="s">
        <v>1195</v>
      </c>
      <c r="D39" s="343" t="s">
        <v>1245</v>
      </c>
      <c r="E39" s="285"/>
      <c r="F39" s="285"/>
      <c r="G39" s="285"/>
      <c r="H39" s="285"/>
    </row>
    <row r="40" spans="2:8" x14ac:dyDescent="0.25">
      <c r="B40" s="356"/>
      <c r="C40" s="286" t="s">
        <v>112</v>
      </c>
      <c r="D40" s="286" t="s">
        <v>474</v>
      </c>
      <c r="E40" s="286" t="s">
        <v>1246</v>
      </c>
      <c r="F40" s="345" t="s">
        <v>1247</v>
      </c>
      <c r="G40" s="345" t="s">
        <v>1248</v>
      </c>
      <c r="H40" s="345" t="s">
        <v>1249</v>
      </c>
    </row>
    <row r="41" spans="2:8" x14ac:dyDescent="0.25">
      <c r="B41" s="356"/>
      <c r="C41" s="287" t="s">
        <v>1274</v>
      </c>
      <c r="D41" s="288" t="s">
        <v>1250</v>
      </c>
      <c r="E41" s="288" t="s">
        <v>365</v>
      </c>
      <c r="F41" s="347" t="s">
        <v>1275</v>
      </c>
      <c r="G41" s="289" t="s">
        <v>1251</v>
      </c>
      <c r="H41" s="289" t="s">
        <v>1251</v>
      </c>
    </row>
    <row r="42" spans="2:8" x14ac:dyDescent="0.25">
      <c r="B42" s="356"/>
      <c r="C42" s="290" t="s">
        <v>1276</v>
      </c>
      <c r="D42" s="290" t="s">
        <v>480</v>
      </c>
      <c r="E42" s="347" t="s">
        <v>1252</v>
      </c>
      <c r="F42" s="347" t="s">
        <v>1253</v>
      </c>
      <c r="G42" s="289" t="s">
        <v>1251</v>
      </c>
      <c r="H42" s="289" t="s">
        <v>1251</v>
      </c>
    </row>
    <row r="43" spans="2:8" x14ac:dyDescent="0.25">
      <c r="B43" s="356"/>
      <c r="C43" s="290" t="s">
        <v>1198</v>
      </c>
      <c r="D43" s="290" t="s">
        <v>1254</v>
      </c>
      <c r="E43" s="347" t="s">
        <v>1252</v>
      </c>
      <c r="F43" s="347">
        <v>46037</v>
      </c>
      <c r="G43" s="287" t="s">
        <v>1255</v>
      </c>
      <c r="H43" s="287" t="s">
        <v>1166</v>
      </c>
    </row>
    <row r="44" spans="2:8" x14ac:dyDescent="0.25">
      <c r="B44" s="356"/>
      <c r="C44" s="288" t="s">
        <v>1199</v>
      </c>
      <c r="D44" s="290" t="s">
        <v>1256</v>
      </c>
      <c r="E44" s="347" t="s">
        <v>1277</v>
      </c>
      <c r="F44" s="347">
        <v>46052</v>
      </c>
      <c r="G44" s="287" t="s">
        <v>1255</v>
      </c>
      <c r="H44" s="287" t="s">
        <v>1166</v>
      </c>
    </row>
    <row r="45" spans="2:8" x14ac:dyDescent="0.25">
      <c r="B45" s="356"/>
      <c r="C45" s="290" t="s">
        <v>1200</v>
      </c>
      <c r="D45" s="290" t="s">
        <v>1254</v>
      </c>
      <c r="E45" s="347" t="s">
        <v>1277</v>
      </c>
      <c r="F45" s="347">
        <v>46037</v>
      </c>
      <c r="G45" s="287" t="s">
        <v>1255</v>
      </c>
      <c r="H45" s="287" t="s">
        <v>1166</v>
      </c>
    </row>
    <row r="46" spans="2:8" x14ac:dyDescent="0.25">
      <c r="B46" s="356"/>
      <c r="C46" s="290" t="s">
        <v>1201</v>
      </c>
      <c r="D46" s="290" t="s">
        <v>1256</v>
      </c>
      <c r="E46" s="347" t="s">
        <v>1252</v>
      </c>
      <c r="F46" s="347">
        <v>46052</v>
      </c>
      <c r="G46" s="287" t="s">
        <v>1255</v>
      </c>
      <c r="H46" s="287" t="s">
        <v>1166</v>
      </c>
    </row>
    <row r="47" spans="2:8" x14ac:dyDescent="0.25">
      <c r="B47" s="356"/>
      <c r="C47" s="287" t="s">
        <v>1202</v>
      </c>
      <c r="D47" s="290" t="s">
        <v>1257</v>
      </c>
      <c r="E47" s="347" t="s">
        <v>1252</v>
      </c>
      <c r="F47" s="347">
        <v>46029</v>
      </c>
      <c r="G47" s="287" t="s">
        <v>1255</v>
      </c>
      <c r="H47" s="287" t="s">
        <v>1166</v>
      </c>
    </row>
    <row r="48" spans="2:8" x14ac:dyDescent="0.25">
      <c r="B48" s="356"/>
      <c r="C48" s="289"/>
      <c r="D48" s="289"/>
      <c r="E48" s="290"/>
      <c r="F48" s="347"/>
      <c r="G48" s="348"/>
      <c r="H48" s="348"/>
    </row>
    <row r="49" spans="2:8" x14ac:dyDescent="0.25">
      <c r="B49" s="356"/>
      <c r="C49" s="288" t="s">
        <v>1203</v>
      </c>
      <c r="D49" s="287" t="s">
        <v>1258</v>
      </c>
      <c r="E49" s="347" t="s">
        <v>1278</v>
      </c>
      <c r="F49" s="347">
        <v>46026</v>
      </c>
      <c r="G49" s="287" t="s">
        <v>1255</v>
      </c>
      <c r="H49" s="287" t="s">
        <v>1166</v>
      </c>
    </row>
    <row r="50" spans="2:8" x14ac:dyDescent="0.25">
      <c r="B50" s="356"/>
      <c r="C50" s="288" t="s">
        <v>1204</v>
      </c>
      <c r="D50" s="287" t="s">
        <v>1260</v>
      </c>
      <c r="E50" s="347" t="s">
        <v>1279</v>
      </c>
      <c r="F50" s="347"/>
      <c r="G50" s="287" t="s">
        <v>1255</v>
      </c>
      <c r="H50" s="287" t="s">
        <v>1166</v>
      </c>
    </row>
    <row r="51" spans="2:8" x14ac:dyDescent="0.25">
      <c r="B51" s="356"/>
      <c r="C51" s="287" t="s">
        <v>1205</v>
      </c>
      <c r="D51" s="287" t="s">
        <v>1258</v>
      </c>
      <c r="E51" s="288" t="s">
        <v>1277</v>
      </c>
      <c r="F51" s="347"/>
      <c r="G51" s="287" t="s">
        <v>1255</v>
      </c>
      <c r="H51" s="287" t="s">
        <v>1166</v>
      </c>
    </row>
    <row r="52" spans="2:8" ht="30" x14ac:dyDescent="0.25">
      <c r="B52" s="356"/>
      <c r="C52" s="287" t="s">
        <v>1206</v>
      </c>
      <c r="D52" s="287" t="s">
        <v>1262</v>
      </c>
      <c r="E52" s="357" t="s">
        <v>1280</v>
      </c>
      <c r="F52" s="347" t="s">
        <v>1281</v>
      </c>
      <c r="G52" s="287" t="s">
        <v>1255</v>
      </c>
      <c r="H52" s="287" t="s">
        <v>1166</v>
      </c>
    </row>
    <row r="53" spans="2:8" ht="30" x14ac:dyDescent="0.25">
      <c r="B53" s="356"/>
      <c r="C53" s="287" t="s">
        <v>1207</v>
      </c>
      <c r="D53" s="287" t="s">
        <v>1262</v>
      </c>
      <c r="E53" s="347" t="s">
        <v>1252</v>
      </c>
      <c r="F53" s="347"/>
      <c r="G53" s="287" t="s">
        <v>1255</v>
      </c>
      <c r="H53" s="287" t="s">
        <v>1166</v>
      </c>
    </row>
    <row r="54" spans="2:8" ht="30" x14ac:dyDescent="0.25">
      <c r="B54" s="356"/>
      <c r="C54" s="287" t="s">
        <v>1208</v>
      </c>
      <c r="D54" s="287" t="s">
        <v>1263</v>
      </c>
      <c r="E54" s="347" t="s">
        <v>1252</v>
      </c>
      <c r="F54" s="347"/>
      <c r="G54" s="289" t="s">
        <v>1264</v>
      </c>
      <c r="H54" s="289" t="s">
        <v>1265</v>
      </c>
    </row>
    <row r="55" spans="2:8" x14ac:dyDescent="0.25">
      <c r="B55" s="356"/>
      <c r="C55" s="289"/>
      <c r="D55" s="289"/>
      <c r="E55" s="290"/>
      <c r="F55" s="347"/>
      <c r="G55" s="348"/>
      <c r="H55" s="348"/>
    </row>
    <row r="56" spans="2:8" x14ac:dyDescent="0.25">
      <c r="B56" s="356"/>
      <c r="C56" s="287" t="s">
        <v>1209</v>
      </c>
      <c r="D56" s="288" t="s">
        <v>1266</v>
      </c>
      <c r="E56" s="347" t="s">
        <v>1252</v>
      </c>
      <c r="F56" s="347">
        <v>45759</v>
      </c>
      <c r="G56" s="287" t="s">
        <v>1255</v>
      </c>
      <c r="H56" s="287" t="s">
        <v>1166</v>
      </c>
    </row>
    <row r="57" spans="2:8" ht="30" x14ac:dyDescent="0.25">
      <c r="B57" s="356"/>
      <c r="C57" s="287" t="s">
        <v>1210</v>
      </c>
      <c r="D57" s="349" t="s">
        <v>1267</v>
      </c>
      <c r="E57" s="347" t="s">
        <v>1252</v>
      </c>
      <c r="F57" s="290" t="s">
        <v>1268</v>
      </c>
      <c r="G57" s="287" t="s">
        <v>1255</v>
      </c>
      <c r="H57" s="287" t="s">
        <v>1166</v>
      </c>
    </row>
    <row r="58" spans="2:8" x14ac:dyDescent="0.25">
      <c r="B58" s="356"/>
      <c r="C58" s="287"/>
      <c r="D58" s="349"/>
      <c r="E58" s="290"/>
      <c r="F58" s="347"/>
      <c r="G58" s="348"/>
      <c r="H58" s="348"/>
    </row>
    <row r="59" spans="2:8" x14ac:dyDescent="0.25">
      <c r="B59" s="356"/>
      <c r="C59" s="287" t="s">
        <v>1211</v>
      </c>
      <c r="D59" s="288" t="s">
        <v>1269</v>
      </c>
      <c r="E59" s="347" t="s">
        <v>1252</v>
      </c>
      <c r="F59" s="347" t="s">
        <v>1270</v>
      </c>
      <c r="G59" s="287" t="s">
        <v>1255</v>
      </c>
      <c r="H59" s="287" t="s">
        <v>1166</v>
      </c>
    </row>
    <row r="60" spans="2:8" x14ac:dyDescent="0.25">
      <c r="B60" s="356"/>
      <c r="C60" s="287" t="s">
        <v>1212</v>
      </c>
      <c r="D60" s="288" t="s">
        <v>1269</v>
      </c>
      <c r="E60" s="347" t="s">
        <v>1277</v>
      </c>
      <c r="F60" s="347" t="s">
        <v>1270</v>
      </c>
      <c r="G60" s="287" t="s">
        <v>1255</v>
      </c>
      <c r="H60" s="287" t="s">
        <v>1166</v>
      </c>
    </row>
    <row r="61" spans="2:8" x14ac:dyDescent="0.25">
      <c r="B61" s="356"/>
      <c r="C61" s="287" t="s">
        <v>1213</v>
      </c>
      <c r="D61" s="288" t="s">
        <v>1269</v>
      </c>
      <c r="E61" s="347" t="s">
        <v>1252</v>
      </c>
      <c r="F61" s="347" t="s">
        <v>1270</v>
      </c>
      <c r="G61" s="287" t="s">
        <v>1255</v>
      </c>
      <c r="H61" s="287" t="s">
        <v>1166</v>
      </c>
    </row>
    <row r="62" spans="2:8" ht="30" x14ac:dyDescent="0.25">
      <c r="B62" s="356"/>
      <c r="C62" s="287" t="s">
        <v>1214</v>
      </c>
      <c r="D62" s="288" t="s">
        <v>1269</v>
      </c>
      <c r="E62" s="347" t="s">
        <v>1282</v>
      </c>
      <c r="F62" s="347" t="s">
        <v>1270</v>
      </c>
      <c r="G62" s="287" t="s">
        <v>1255</v>
      </c>
      <c r="H62" s="287" t="s">
        <v>1166</v>
      </c>
    </row>
    <row r="63" spans="2:8" x14ac:dyDescent="0.25">
      <c r="B63" s="356"/>
      <c r="C63" s="287" t="s">
        <v>1215</v>
      </c>
      <c r="D63" s="288" t="s">
        <v>1269</v>
      </c>
      <c r="E63" s="347" t="s">
        <v>1252</v>
      </c>
      <c r="F63" s="347" t="s">
        <v>1270</v>
      </c>
      <c r="G63" s="287" t="s">
        <v>1255</v>
      </c>
      <c r="H63" s="287" t="s">
        <v>1166</v>
      </c>
    </row>
    <row r="64" spans="2:8" x14ac:dyDescent="0.25">
      <c r="B64" s="356"/>
      <c r="C64" s="287" t="s">
        <v>1216</v>
      </c>
      <c r="D64" s="288" t="s">
        <v>1269</v>
      </c>
      <c r="E64" s="347" t="s">
        <v>432</v>
      </c>
      <c r="F64" s="347" t="s">
        <v>1283</v>
      </c>
      <c r="G64" s="287" t="s">
        <v>1255</v>
      </c>
      <c r="H64" s="287" t="s">
        <v>1166</v>
      </c>
    </row>
    <row r="65" spans="2:8" x14ac:dyDescent="0.25">
      <c r="B65" s="356"/>
      <c r="C65" s="287"/>
      <c r="D65" s="288"/>
      <c r="E65" s="290"/>
      <c r="F65" s="347"/>
      <c r="G65" s="290"/>
      <c r="H65" s="290"/>
    </row>
    <row r="66" spans="2:8" x14ac:dyDescent="0.25">
      <c r="B66" s="356"/>
      <c r="C66" s="350" t="s">
        <v>1271</v>
      </c>
      <c r="D66" s="351"/>
      <c r="E66" s="286"/>
      <c r="F66" s="347"/>
      <c r="G66" s="286"/>
      <c r="H66" s="286"/>
    </row>
    <row r="67" spans="2:8" x14ac:dyDescent="0.25">
      <c r="B67" s="356"/>
      <c r="C67" s="287" t="s">
        <v>1272</v>
      </c>
      <c r="D67" s="288" t="s">
        <v>1273</v>
      </c>
      <c r="E67" s="288" t="s">
        <v>1273</v>
      </c>
      <c r="F67" s="288" t="s">
        <v>1273</v>
      </c>
      <c r="G67" s="290"/>
      <c r="H67" s="290"/>
    </row>
    <row r="69" spans="2:8" x14ac:dyDescent="0.25">
      <c r="B69" s="342">
        <v>3</v>
      </c>
      <c r="C69" s="285" t="s">
        <v>1193</v>
      </c>
      <c r="D69" s="285" t="s">
        <v>1284</v>
      </c>
      <c r="E69" s="285"/>
      <c r="F69" s="285" t="s">
        <v>1241</v>
      </c>
      <c r="G69" s="343" t="s">
        <v>1242</v>
      </c>
      <c r="H69" s="343" t="s">
        <v>1242</v>
      </c>
    </row>
    <row r="70" spans="2:8" x14ac:dyDescent="0.25">
      <c r="B70" s="344"/>
      <c r="C70" s="285" t="s">
        <v>1194</v>
      </c>
      <c r="D70" s="285" t="s">
        <v>381</v>
      </c>
      <c r="E70" s="285"/>
      <c r="F70" s="285" t="s">
        <v>1244</v>
      </c>
      <c r="G70" s="343">
        <v>2.4756999999999998</v>
      </c>
      <c r="H70" s="343">
        <v>2.4756999999999998</v>
      </c>
    </row>
    <row r="71" spans="2:8" x14ac:dyDescent="0.25">
      <c r="B71" s="344"/>
      <c r="C71" s="285" t="s">
        <v>1195</v>
      </c>
      <c r="D71" s="343" t="s">
        <v>1245</v>
      </c>
      <c r="E71" s="285"/>
      <c r="F71" s="285"/>
      <c r="G71" s="285"/>
      <c r="H71" s="285"/>
    </row>
    <row r="72" spans="2:8" x14ac:dyDescent="0.25">
      <c r="B72" s="344"/>
      <c r="C72" s="286" t="s">
        <v>112</v>
      </c>
      <c r="D72" s="286" t="s">
        <v>474</v>
      </c>
      <c r="E72" s="286" t="s">
        <v>1246</v>
      </c>
      <c r="F72" s="345" t="s">
        <v>1247</v>
      </c>
      <c r="G72" s="345" t="s">
        <v>1118</v>
      </c>
      <c r="H72" s="345" t="s">
        <v>1118</v>
      </c>
    </row>
    <row r="73" spans="2:8" ht="45" x14ac:dyDescent="0.25">
      <c r="B73" s="344"/>
      <c r="C73" s="287" t="s">
        <v>1285</v>
      </c>
      <c r="D73" s="288" t="s">
        <v>1286</v>
      </c>
      <c r="E73" s="288" t="s">
        <v>1287</v>
      </c>
      <c r="F73" s="347"/>
      <c r="G73" s="289" t="s">
        <v>1251</v>
      </c>
      <c r="H73" s="289" t="s">
        <v>1251</v>
      </c>
    </row>
    <row r="74" spans="2:8" x14ac:dyDescent="0.25">
      <c r="B74" s="352"/>
      <c r="C74" s="290" t="s">
        <v>1288</v>
      </c>
      <c r="D74" s="290" t="s">
        <v>480</v>
      </c>
      <c r="E74" s="347"/>
      <c r="F74" s="347"/>
      <c r="G74" s="289" t="s">
        <v>1251</v>
      </c>
      <c r="H74" s="289" t="s">
        <v>1251</v>
      </c>
    </row>
    <row r="75" spans="2:8" x14ac:dyDescent="0.25">
      <c r="B75" s="358"/>
      <c r="C75" s="359"/>
      <c r="D75" s="360"/>
      <c r="E75" s="361"/>
      <c r="F75" s="347"/>
      <c r="G75" s="360"/>
      <c r="H75" s="360"/>
    </row>
    <row r="76" spans="2:8" x14ac:dyDescent="0.25">
      <c r="B76" s="342">
        <v>4</v>
      </c>
      <c r="C76" s="285" t="s">
        <v>1193</v>
      </c>
      <c r="D76" s="285" t="s">
        <v>389</v>
      </c>
      <c r="E76" s="285"/>
      <c r="F76" s="347" t="s">
        <v>1241</v>
      </c>
      <c r="G76" s="343" t="s">
        <v>1289</v>
      </c>
      <c r="H76" s="343" t="s">
        <v>1289</v>
      </c>
    </row>
    <row r="77" spans="2:8" x14ac:dyDescent="0.25">
      <c r="B77" s="344"/>
      <c r="C77" s="285" t="s">
        <v>1194</v>
      </c>
      <c r="D77" s="285" t="s">
        <v>1243</v>
      </c>
      <c r="E77" s="285"/>
      <c r="F77" s="347" t="s">
        <v>1244</v>
      </c>
      <c r="G77" s="343">
        <v>2.2321</v>
      </c>
      <c r="H77" s="343">
        <v>2.2321</v>
      </c>
    </row>
    <row r="78" spans="2:8" x14ac:dyDescent="0.25">
      <c r="B78" s="344"/>
      <c r="C78" s="285" t="s">
        <v>1195</v>
      </c>
      <c r="D78" s="343" t="s">
        <v>1245</v>
      </c>
      <c r="E78" s="285"/>
      <c r="F78" s="347"/>
      <c r="G78" s="285"/>
      <c r="H78" s="285"/>
    </row>
    <row r="79" spans="2:8" x14ac:dyDescent="0.25">
      <c r="B79" s="344"/>
      <c r="C79" s="286" t="s">
        <v>112</v>
      </c>
      <c r="D79" s="286" t="s">
        <v>474</v>
      </c>
      <c r="E79" s="286" t="s">
        <v>1246</v>
      </c>
      <c r="F79" s="362" t="s">
        <v>1247</v>
      </c>
      <c r="G79" s="345" t="s">
        <v>1118</v>
      </c>
      <c r="H79" s="345" t="s">
        <v>1118</v>
      </c>
    </row>
    <row r="80" spans="2:8" ht="45" x14ac:dyDescent="0.25">
      <c r="B80" s="344"/>
      <c r="C80" s="287" t="s">
        <v>1290</v>
      </c>
      <c r="D80" s="288" t="s">
        <v>1286</v>
      </c>
      <c r="E80" s="288" t="s">
        <v>1291</v>
      </c>
      <c r="F80" s="347">
        <v>46054</v>
      </c>
      <c r="G80" s="289" t="s">
        <v>1251</v>
      </c>
      <c r="H80" s="289" t="s">
        <v>1251</v>
      </c>
    </row>
    <row r="81" spans="2:8" x14ac:dyDescent="0.25">
      <c r="B81" s="352"/>
      <c r="C81" s="290" t="s">
        <v>1292</v>
      </c>
      <c r="D81" s="290" t="s">
        <v>480</v>
      </c>
      <c r="E81" s="289" t="s">
        <v>1293</v>
      </c>
      <c r="F81" s="347">
        <v>46054</v>
      </c>
      <c r="G81" s="289" t="s">
        <v>1251</v>
      </c>
      <c r="H81" s="289" t="s">
        <v>1251</v>
      </c>
    </row>
    <row r="83" spans="2:8" x14ac:dyDescent="0.25">
      <c r="C83" s="338" t="s">
        <v>1294</v>
      </c>
    </row>
  </sheetData>
  <mergeCells count="4">
    <mergeCell ref="B5:B35"/>
    <mergeCell ref="B37:B67"/>
    <mergeCell ref="B69:B74"/>
    <mergeCell ref="B76:B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1509-816F-4744-AC29-83C413CDC415}">
  <dimension ref="A2:U677"/>
  <sheetViews>
    <sheetView zoomScale="80" zoomScaleNormal="80" workbookViewId="0">
      <pane ySplit="4" topLeftCell="A5" activePane="bottomLeft" state="frozen"/>
      <selection pane="bottomLeft" activeCell="H10" sqref="H10:J10"/>
    </sheetView>
  </sheetViews>
  <sheetFormatPr defaultRowHeight="15" outlineLevelRow="1" x14ac:dyDescent="0.25"/>
  <cols>
    <col min="1" max="1" width="9" customWidth="1"/>
    <col min="2" max="2" width="17.42578125" bestFit="1" customWidth="1"/>
    <col min="3" max="3" width="15.85546875" bestFit="1" customWidth="1"/>
    <col min="4" max="4" width="30.5703125" style="96" customWidth="1"/>
    <col min="5" max="5" width="39" style="96" customWidth="1"/>
    <col min="6" max="6" width="15.140625" bestFit="1" customWidth="1"/>
    <col min="7" max="7" width="13.5703125" customWidth="1"/>
    <col min="8" max="8" width="9.5703125" bestFit="1" customWidth="1"/>
    <col min="9" max="9" width="10" customWidth="1"/>
    <col min="10" max="10" width="13.7109375" bestFit="1" customWidth="1"/>
    <col min="11" max="14" width="12.28515625" bestFit="1" customWidth="1"/>
    <col min="15" max="17" width="8.5703125" bestFit="1" customWidth="1"/>
    <col min="18" max="18" width="7.7109375" bestFit="1" customWidth="1"/>
  </cols>
  <sheetData>
    <row r="2" spans="1:20" ht="15.75" thickBot="1" x14ac:dyDescent="0.3">
      <c r="R2" s="58" t="s">
        <v>467</v>
      </c>
      <c r="S2" s="58" t="s">
        <v>468</v>
      </c>
      <c r="T2" s="58" t="s">
        <v>469</v>
      </c>
    </row>
    <row r="3" spans="1:20" ht="21.6" customHeight="1" thickBot="1" x14ac:dyDescent="0.3">
      <c r="A3" s="169" t="s">
        <v>1007</v>
      </c>
      <c r="B3" s="100" t="s">
        <v>457</v>
      </c>
      <c r="C3" s="100" t="s">
        <v>476</v>
      </c>
      <c r="D3" s="316" t="s">
        <v>458</v>
      </c>
      <c r="E3" s="316" t="s">
        <v>473</v>
      </c>
      <c r="F3" s="316" t="s">
        <v>472</v>
      </c>
      <c r="G3" s="316" t="s">
        <v>474</v>
      </c>
      <c r="H3" s="314" t="s">
        <v>459</v>
      </c>
      <c r="I3" s="315"/>
      <c r="J3" s="315"/>
      <c r="K3" s="316" t="s">
        <v>463</v>
      </c>
      <c r="L3" s="303" t="s">
        <v>416</v>
      </c>
      <c r="M3" s="304"/>
      <c r="N3" s="305" t="s">
        <v>464</v>
      </c>
      <c r="O3" s="307" t="s">
        <v>470</v>
      </c>
      <c r="P3" s="308"/>
      <c r="Q3" s="309" t="s">
        <v>353</v>
      </c>
      <c r="R3" s="311" t="s">
        <v>471</v>
      </c>
      <c r="S3" s="312"/>
      <c r="T3" s="313"/>
    </row>
    <row r="4" spans="1:20" ht="15.75" thickBot="1" x14ac:dyDescent="0.3">
      <c r="A4" s="101"/>
      <c r="B4" s="101"/>
      <c r="C4" s="101"/>
      <c r="D4" s="317"/>
      <c r="E4" s="317"/>
      <c r="F4" s="317"/>
      <c r="G4" s="317"/>
      <c r="H4" s="102" t="s">
        <v>460</v>
      </c>
      <c r="I4" s="103" t="s">
        <v>475</v>
      </c>
      <c r="J4" s="104" t="s">
        <v>462</v>
      </c>
      <c r="K4" s="317"/>
      <c r="L4" s="105" t="s">
        <v>421</v>
      </c>
      <c r="M4" s="106" t="s">
        <v>422</v>
      </c>
      <c r="N4" s="306"/>
      <c r="O4" s="107" t="s">
        <v>465</v>
      </c>
      <c r="P4" s="108" t="s">
        <v>466</v>
      </c>
      <c r="Q4" s="310"/>
      <c r="R4" s="97" t="s">
        <v>460</v>
      </c>
      <c r="S4" s="98" t="s">
        <v>461</v>
      </c>
      <c r="T4" s="99" t="s">
        <v>462</v>
      </c>
    </row>
    <row r="5" spans="1:20" ht="15.75" outlineLevel="1" x14ac:dyDescent="0.3">
      <c r="A5" s="52">
        <v>1</v>
      </c>
      <c r="B5" s="52" t="s">
        <v>477</v>
      </c>
      <c r="C5" s="52" t="s">
        <v>477</v>
      </c>
      <c r="D5" s="109" t="s">
        <v>29</v>
      </c>
      <c r="E5" s="110" t="s">
        <v>478</v>
      </c>
      <c r="F5" s="111" t="s">
        <v>479</v>
      </c>
      <c r="G5" s="52" t="s">
        <v>480</v>
      </c>
      <c r="H5" s="52" t="s">
        <v>481</v>
      </c>
      <c r="I5" s="52" t="s">
        <v>482</v>
      </c>
      <c r="J5" s="52" t="s">
        <v>483</v>
      </c>
      <c r="K5" s="52" t="s">
        <v>484</v>
      </c>
      <c r="L5" s="52" t="s">
        <v>484</v>
      </c>
      <c r="M5" s="112" t="s">
        <v>485</v>
      </c>
      <c r="N5" s="112" t="s">
        <v>486</v>
      </c>
      <c r="O5" s="192" t="s">
        <v>695</v>
      </c>
      <c r="P5" s="192" t="s">
        <v>695</v>
      </c>
      <c r="Q5" s="192" t="s">
        <v>695</v>
      </c>
      <c r="R5" s="52">
        <v>30</v>
      </c>
      <c r="S5" s="52">
        <v>20</v>
      </c>
      <c r="T5" s="52">
        <v>20</v>
      </c>
    </row>
    <row r="6" spans="1:20" ht="15.75" outlineLevel="1" x14ac:dyDescent="0.3">
      <c r="A6" s="52">
        <f>A5+1</f>
        <v>2</v>
      </c>
      <c r="B6" s="52" t="s">
        <v>477</v>
      </c>
      <c r="C6" s="52" t="s">
        <v>477</v>
      </c>
      <c r="D6" s="109" t="s">
        <v>29</v>
      </c>
      <c r="E6" s="48" t="s">
        <v>488</v>
      </c>
      <c r="F6" s="111" t="s">
        <v>479</v>
      </c>
      <c r="G6" s="52" t="s">
        <v>480</v>
      </c>
      <c r="H6" s="52" t="s">
        <v>481</v>
      </c>
      <c r="I6" s="52" t="s">
        <v>482</v>
      </c>
      <c r="J6" s="52" t="s">
        <v>483</v>
      </c>
      <c r="K6" s="52" t="s">
        <v>484</v>
      </c>
      <c r="L6" s="52" t="s">
        <v>484</v>
      </c>
      <c r="M6" s="112" t="s">
        <v>485</v>
      </c>
      <c r="N6" s="112" t="s">
        <v>486</v>
      </c>
      <c r="O6" s="192" t="s">
        <v>695</v>
      </c>
      <c r="P6" s="192" t="s">
        <v>695</v>
      </c>
      <c r="Q6" s="192" t="s">
        <v>695</v>
      </c>
      <c r="R6" s="52">
        <v>30</v>
      </c>
      <c r="S6" s="52">
        <v>30</v>
      </c>
      <c r="T6" s="52">
        <v>20</v>
      </c>
    </row>
    <row r="7" spans="1:20" ht="15.75" outlineLevel="1" x14ac:dyDescent="0.3">
      <c r="A7" s="52">
        <f t="shared" ref="A7:A10" si="0">A6+1</f>
        <v>3</v>
      </c>
      <c r="B7" s="52" t="s">
        <v>477</v>
      </c>
      <c r="C7" s="52" t="s">
        <v>477</v>
      </c>
      <c r="D7" s="109" t="s">
        <v>29</v>
      </c>
      <c r="E7" s="48" t="s">
        <v>489</v>
      </c>
      <c r="F7" s="111" t="s">
        <v>479</v>
      </c>
      <c r="G7" s="52" t="s">
        <v>480</v>
      </c>
      <c r="H7" s="52" t="s">
        <v>481</v>
      </c>
      <c r="I7" s="52" t="s">
        <v>482</v>
      </c>
      <c r="J7" s="52" t="s">
        <v>483</v>
      </c>
      <c r="K7" s="52" t="s">
        <v>484</v>
      </c>
      <c r="L7" s="52" t="s">
        <v>484</v>
      </c>
      <c r="M7" s="112" t="s">
        <v>485</v>
      </c>
      <c r="N7" s="112" t="s">
        <v>486</v>
      </c>
      <c r="O7" s="192" t="s">
        <v>695</v>
      </c>
      <c r="P7" s="192" t="s">
        <v>695</v>
      </c>
      <c r="Q7" s="192" t="s">
        <v>695</v>
      </c>
      <c r="R7" s="52">
        <v>30</v>
      </c>
      <c r="S7" s="52">
        <v>30</v>
      </c>
      <c r="T7" s="52">
        <v>20</v>
      </c>
    </row>
    <row r="8" spans="1:20" ht="15.75" outlineLevel="1" x14ac:dyDescent="0.3">
      <c r="A8" s="52">
        <f t="shared" si="0"/>
        <v>4</v>
      </c>
      <c r="B8" s="52" t="s">
        <v>477</v>
      </c>
      <c r="C8" s="52" t="s">
        <v>477</v>
      </c>
      <c r="D8" s="113" t="s">
        <v>490</v>
      </c>
      <c r="E8" s="48" t="s">
        <v>491</v>
      </c>
      <c r="F8" s="111" t="s">
        <v>479</v>
      </c>
      <c r="G8" s="52" t="s">
        <v>480</v>
      </c>
      <c r="H8" s="52" t="s">
        <v>481</v>
      </c>
      <c r="I8" s="52" t="s">
        <v>482</v>
      </c>
      <c r="J8" s="52" t="s">
        <v>483</v>
      </c>
      <c r="K8" s="52" t="s">
        <v>492</v>
      </c>
      <c r="L8" s="52" t="s">
        <v>492</v>
      </c>
      <c r="M8" s="52" t="s">
        <v>493</v>
      </c>
      <c r="N8" s="52" t="s">
        <v>494</v>
      </c>
      <c r="O8" s="192" t="s">
        <v>695</v>
      </c>
      <c r="P8" s="192" t="s">
        <v>695</v>
      </c>
      <c r="Q8" s="192" t="s">
        <v>695</v>
      </c>
      <c r="R8" s="52">
        <v>30</v>
      </c>
      <c r="S8" s="52">
        <v>30</v>
      </c>
      <c r="T8" s="52">
        <v>20</v>
      </c>
    </row>
    <row r="9" spans="1:20" ht="30" outlineLevel="1" x14ac:dyDescent="0.3">
      <c r="A9" s="52">
        <f t="shared" si="0"/>
        <v>5</v>
      </c>
      <c r="B9" s="52" t="s">
        <v>477</v>
      </c>
      <c r="C9" s="52" t="s">
        <v>477</v>
      </c>
      <c r="D9" s="48" t="s">
        <v>198</v>
      </c>
      <c r="E9" s="113" t="s">
        <v>495</v>
      </c>
      <c r="F9" s="111" t="s">
        <v>479</v>
      </c>
      <c r="G9" s="52" t="s">
        <v>496</v>
      </c>
      <c r="H9" s="52"/>
      <c r="I9" s="52"/>
      <c r="J9" s="52" t="s">
        <v>483</v>
      </c>
      <c r="K9" s="52" t="s">
        <v>497</v>
      </c>
      <c r="L9" s="52" t="s">
        <v>497</v>
      </c>
      <c r="M9" s="52" t="s">
        <v>498</v>
      </c>
      <c r="N9" s="52" t="s">
        <v>499</v>
      </c>
      <c r="O9" s="192" t="s">
        <v>695</v>
      </c>
      <c r="P9" s="192" t="s">
        <v>695</v>
      </c>
      <c r="Q9" s="192" t="s">
        <v>695</v>
      </c>
      <c r="R9" s="52"/>
      <c r="S9" s="52"/>
      <c r="T9" s="52">
        <v>30</v>
      </c>
    </row>
    <row r="10" spans="1:20" ht="15.75" outlineLevel="1" x14ac:dyDescent="0.3">
      <c r="A10" s="52">
        <f t="shared" si="0"/>
        <v>6</v>
      </c>
      <c r="B10" s="52" t="s">
        <v>477</v>
      </c>
      <c r="C10" s="52" t="s">
        <v>477</v>
      </c>
      <c r="D10" s="48" t="s">
        <v>500</v>
      </c>
      <c r="E10" s="113" t="s">
        <v>501</v>
      </c>
      <c r="F10" s="111" t="s">
        <v>479</v>
      </c>
      <c r="G10" s="52" t="s">
        <v>480</v>
      </c>
      <c r="H10" s="52" t="s">
        <v>502</v>
      </c>
      <c r="I10" s="52" t="s">
        <v>503</v>
      </c>
      <c r="J10" s="52" t="s">
        <v>483</v>
      </c>
      <c r="K10" s="112">
        <v>44440</v>
      </c>
      <c r="L10" s="112">
        <v>44440</v>
      </c>
      <c r="M10" s="112">
        <v>44774</v>
      </c>
      <c r="N10" s="112">
        <v>44805</v>
      </c>
      <c r="O10" s="192" t="s">
        <v>695</v>
      </c>
      <c r="P10" s="192" t="s">
        <v>695</v>
      </c>
      <c r="Q10" s="192" t="s">
        <v>695</v>
      </c>
      <c r="R10" s="52">
        <v>30</v>
      </c>
      <c r="S10" s="52">
        <v>30</v>
      </c>
      <c r="T10" s="52">
        <v>10</v>
      </c>
    </row>
    <row r="11" spans="1:20" s="114" customFormat="1" x14ac:dyDescent="0.25">
      <c r="A11" s="118">
        <v>6</v>
      </c>
      <c r="B11" s="118" t="s">
        <v>213</v>
      </c>
      <c r="D11" s="115"/>
      <c r="E11" s="115"/>
    </row>
    <row r="12" spans="1:20" ht="45.75" outlineLevel="1" x14ac:dyDescent="0.3">
      <c r="A12" s="109">
        <v>1</v>
      </c>
      <c r="B12" s="109" t="s">
        <v>504</v>
      </c>
      <c r="C12" s="109" t="s">
        <v>505</v>
      </c>
      <c r="D12" s="109" t="s">
        <v>29</v>
      </c>
      <c r="E12" s="116" t="s">
        <v>506</v>
      </c>
      <c r="F12" s="110" t="s">
        <v>507</v>
      </c>
      <c r="G12" s="52" t="s">
        <v>480</v>
      </c>
      <c r="H12" s="109"/>
      <c r="I12" s="110" t="s">
        <v>508</v>
      </c>
      <c r="J12" s="109"/>
      <c r="K12" s="117">
        <v>43445</v>
      </c>
      <c r="L12" s="117">
        <v>44258</v>
      </c>
      <c r="M12" s="117">
        <v>44622</v>
      </c>
      <c r="N12" s="117">
        <v>44622</v>
      </c>
      <c r="O12" s="192" t="s">
        <v>695</v>
      </c>
      <c r="P12" s="192" t="s">
        <v>695</v>
      </c>
      <c r="Q12" s="192" t="s">
        <v>695</v>
      </c>
    </row>
    <row r="13" spans="1:20" ht="30.75" outlineLevel="1" x14ac:dyDescent="0.3">
      <c r="A13" s="109">
        <f>A12+1</f>
        <v>2</v>
      </c>
      <c r="B13" s="109" t="s">
        <v>504</v>
      </c>
      <c r="C13" s="109" t="s">
        <v>505</v>
      </c>
      <c r="D13" s="109" t="s">
        <v>29</v>
      </c>
      <c r="E13" s="109" t="s">
        <v>509</v>
      </c>
      <c r="F13" s="109" t="s">
        <v>510</v>
      </c>
      <c r="G13" s="52" t="s">
        <v>480</v>
      </c>
      <c r="H13" s="109"/>
      <c r="I13" s="110" t="s">
        <v>508</v>
      </c>
      <c r="J13" s="109"/>
      <c r="K13" s="117">
        <v>40973</v>
      </c>
      <c r="L13" s="117">
        <v>44258</v>
      </c>
      <c r="M13" s="117">
        <v>44622</v>
      </c>
      <c r="N13" s="117">
        <v>44622</v>
      </c>
      <c r="O13" s="192" t="s">
        <v>695</v>
      </c>
      <c r="P13" s="192" t="s">
        <v>695</v>
      </c>
      <c r="Q13" s="192" t="s">
        <v>695</v>
      </c>
    </row>
    <row r="14" spans="1:20" ht="30.75" outlineLevel="1" x14ac:dyDescent="0.3">
      <c r="A14" s="109">
        <f t="shared" ref="A14:A26" si="1">A13+1</f>
        <v>3</v>
      </c>
      <c r="B14" s="109" t="s">
        <v>504</v>
      </c>
      <c r="C14" s="109" t="s">
        <v>505</v>
      </c>
      <c r="D14" s="109" t="s">
        <v>29</v>
      </c>
      <c r="E14" s="109" t="s">
        <v>511</v>
      </c>
      <c r="F14" s="109" t="s">
        <v>512</v>
      </c>
      <c r="G14" s="52" t="s">
        <v>480</v>
      </c>
      <c r="H14" s="109"/>
      <c r="I14" s="110" t="s">
        <v>508</v>
      </c>
      <c r="J14" s="109"/>
      <c r="K14" s="117">
        <v>41644</v>
      </c>
      <c r="L14" s="117">
        <v>44258</v>
      </c>
      <c r="M14" s="117">
        <v>44622</v>
      </c>
      <c r="N14" s="117">
        <v>44622</v>
      </c>
      <c r="O14" s="192" t="s">
        <v>695</v>
      </c>
      <c r="P14" s="192" t="s">
        <v>695</v>
      </c>
      <c r="Q14" s="192" t="s">
        <v>695</v>
      </c>
    </row>
    <row r="15" spans="1:20" ht="30.75" outlineLevel="1" x14ac:dyDescent="0.3">
      <c r="A15" s="109">
        <f t="shared" si="1"/>
        <v>4</v>
      </c>
      <c r="B15" s="109" t="s">
        <v>504</v>
      </c>
      <c r="C15" s="109" t="s">
        <v>505</v>
      </c>
      <c r="D15" s="109" t="s">
        <v>29</v>
      </c>
      <c r="E15" s="109" t="s">
        <v>509</v>
      </c>
      <c r="F15" s="109" t="s">
        <v>513</v>
      </c>
      <c r="G15" s="52" t="s">
        <v>480</v>
      </c>
      <c r="H15" s="109"/>
      <c r="I15" s="110" t="s">
        <v>508</v>
      </c>
      <c r="J15" s="109"/>
      <c r="K15" s="117">
        <v>41642</v>
      </c>
      <c r="L15" s="117">
        <v>44258</v>
      </c>
      <c r="M15" s="117">
        <v>44622</v>
      </c>
      <c r="N15" s="117">
        <v>44622</v>
      </c>
      <c r="O15" s="192" t="s">
        <v>695</v>
      </c>
      <c r="P15" s="192" t="s">
        <v>695</v>
      </c>
      <c r="Q15" s="192" t="s">
        <v>695</v>
      </c>
    </row>
    <row r="16" spans="1:20" ht="30.75" outlineLevel="1" x14ac:dyDescent="0.3">
      <c r="A16" s="109">
        <f t="shared" si="1"/>
        <v>5</v>
      </c>
      <c r="B16" s="109" t="s">
        <v>504</v>
      </c>
      <c r="C16" s="109" t="s">
        <v>505</v>
      </c>
      <c r="D16" s="109" t="s">
        <v>29</v>
      </c>
      <c r="E16" s="113" t="s">
        <v>514</v>
      </c>
      <c r="F16" s="109" t="s">
        <v>513</v>
      </c>
      <c r="G16" s="52" t="s">
        <v>480</v>
      </c>
      <c r="H16" s="109"/>
      <c r="I16" s="110" t="s">
        <v>508</v>
      </c>
      <c r="J16" s="109"/>
      <c r="K16" s="117">
        <v>41642</v>
      </c>
      <c r="L16" s="117">
        <v>44258</v>
      </c>
      <c r="M16" s="117">
        <v>44622</v>
      </c>
      <c r="N16" s="117">
        <v>44622</v>
      </c>
      <c r="O16" s="192" t="s">
        <v>695</v>
      </c>
      <c r="P16" s="192" t="s">
        <v>695</v>
      </c>
      <c r="Q16" s="192" t="s">
        <v>695</v>
      </c>
    </row>
    <row r="17" spans="1:21" ht="30.75" outlineLevel="1" x14ac:dyDescent="0.3">
      <c r="A17" s="109">
        <f t="shared" si="1"/>
        <v>6</v>
      </c>
      <c r="B17" s="109" t="s">
        <v>504</v>
      </c>
      <c r="C17" s="109" t="s">
        <v>505</v>
      </c>
      <c r="D17" s="109" t="s">
        <v>29</v>
      </c>
      <c r="E17" s="113" t="s">
        <v>515</v>
      </c>
      <c r="F17" s="109" t="s">
        <v>513</v>
      </c>
      <c r="G17" s="52" t="s">
        <v>480</v>
      </c>
      <c r="H17" s="109"/>
      <c r="I17" s="110" t="s">
        <v>508</v>
      </c>
      <c r="J17" s="109"/>
      <c r="K17" s="117">
        <v>41642</v>
      </c>
      <c r="L17" s="117">
        <v>44258</v>
      </c>
      <c r="M17" s="117">
        <v>44622</v>
      </c>
      <c r="N17" s="117">
        <v>44622</v>
      </c>
      <c r="O17" s="192" t="s">
        <v>695</v>
      </c>
      <c r="P17" s="192" t="s">
        <v>695</v>
      </c>
      <c r="Q17" s="192" t="s">
        <v>695</v>
      </c>
    </row>
    <row r="18" spans="1:21" ht="30.75" outlineLevel="1" x14ac:dyDescent="0.3">
      <c r="A18" s="109">
        <f t="shared" si="1"/>
        <v>7</v>
      </c>
      <c r="B18" s="109" t="s">
        <v>504</v>
      </c>
      <c r="C18" s="109" t="s">
        <v>505</v>
      </c>
      <c r="D18" s="109" t="s">
        <v>29</v>
      </c>
      <c r="E18" s="48" t="s">
        <v>516</v>
      </c>
      <c r="F18" s="109" t="s">
        <v>513</v>
      </c>
      <c r="G18" s="52" t="s">
        <v>480</v>
      </c>
      <c r="H18" s="109"/>
      <c r="I18" s="110" t="s">
        <v>508</v>
      </c>
      <c r="J18" s="109"/>
      <c r="K18" s="109" t="s">
        <v>517</v>
      </c>
      <c r="L18" s="117">
        <v>44258</v>
      </c>
      <c r="M18" s="117">
        <v>44622</v>
      </c>
      <c r="N18" s="117">
        <v>44622</v>
      </c>
      <c r="O18" s="192" t="s">
        <v>695</v>
      </c>
      <c r="P18" s="192" t="s">
        <v>695</v>
      </c>
      <c r="Q18" s="192" t="s">
        <v>695</v>
      </c>
    </row>
    <row r="19" spans="1:21" ht="30.75" outlineLevel="1" x14ac:dyDescent="0.3">
      <c r="A19" s="109">
        <f t="shared" si="1"/>
        <v>8</v>
      </c>
      <c r="B19" s="109" t="s">
        <v>504</v>
      </c>
      <c r="C19" s="109" t="s">
        <v>505</v>
      </c>
      <c r="D19" s="109" t="s">
        <v>29</v>
      </c>
      <c r="E19" s="113" t="s">
        <v>518</v>
      </c>
      <c r="F19" s="109" t="s">
        <v>513</v>
      </c>
      <c r="G19" s="52" t="s">
        <v>480</v>
      </c>
      <c r="H19" s="109"/>
      <c r="I19" s="110" t="s">
        <v>508</v>
      </c>
      <c r="J19" s="109"/>
      <c r="K19" s="117">
        <v>41642</v>
      </c>
      <c r="L19" s="117">
        <v>44258</v>
      </c>
      <c r="M19" s="117">
        <v>44622</v>
      </c>
      <c r="N19" s="117">
        <v>44622</v>
      </c>
      <c r="O19" s="192" t="s">
        <v>695</v>
      </c>
      <c r="P19" s="192" t="s">
        <v>695</v>
      </c>
      <c r="Q19" s="192" t="s">
        <v>695</v>
      </c>
    </row>
    <row r="20" spans="1:21" ht="60" outlineLevel="1" x14ac:dyDescent="0.3">
      <c r="A20" s="109">
        <f t="shared" si="1"/>
        <v>9</v>
      </c>
      <c r="B20" s="109" t="s">
        <v>504</v>
      </c>
      <c r="C20" s="109" t="s">
        <v>505</v>
      </c>
      <c r="D20" s="109" t="s">
        <v>29</v>
      </c>
      <c r="E20" s="113" t="s">
        <v>519</v>
      </c>
      <c r="F20" s="110" t="s">
        <v>520</v>
      </c>
      <c r="G20" s="52" t="s">
        <v>480</v>
      </c>
      <c r="H20" s="109"/>
      <c r="I20" s="110" t="s">
        <v>508</v>
      </c>
      <c r="J20" s="109"/>
      <c r="K20" s="117">
        <v>40917</v>
      </c>
      <c r="L20" s="117">
        <v>44258</v>
      </c>
      <c r="M20" s="117">
        <v>44622</v>
      </c>
      <c r="N20" s="117">
        <v>44622</v>
      </c>
      <c r="O20" s="192" t="s">
        <v>695</v>
      </c>
      <c r="P20" s="192" t="s">
        <v>695</v>
      </c>
      <c r="Q20" s="192" t="s">
        <v>695</v>
      </c>
    </row>
    <row r="21" spans="1:21" ht="60" outlineLevel="1" x14ac:dyDescent="0.3">
      <c r="A21" s="109">
        <f t="shared" si="1"/>
        <v>10</v>
      </c>
      <c r="B21" s="109" t="s">
        <v>504</v>
      </c>
      <c r="C21" s="109" t="s">
        <v>505</v>
      </c>
      <c r="D21" s="109" t="s">
        <v>29</v>
      </c>
      <c r="E21" s="113" t="s">
        <v>521</v>
      </c>
      <c r="F21" s="109" t="s">
        <v>522</v>
      </c>
      <c r="G21" s="52" t="s">
        <v>480</v>
      </c>
      <c r="H21" s="109"/>
      <c r="I21" s="110" t="s">
        <v>508</v>
      </c>
      <c r="J21" s="109"/>
      <c r="K21" s="117">
        <v>40917</v>
      </c>
      <c r="L21" s="117">
        <v>44258</v>
      </c>
      <c r="M21" s="117">
        <v>44622</v>
      </c>
      <c r="N21" s="117">
        <v>44622</v>
      </c>
      <c r="O21" s="192" t="s">
        <v>695</v>
      </c>
      <c r="P21" s="192" t="s">
        <v>695</v>
      </c>
      <c r="Q21" s="192" t="s">
        <v>695</v>
      </c>
    </row>
    <row r="22" spans="1:21" ht="30.75" outlineLevel="1" x14ac:dyDescent="0.3">
      <c r="A22" s="109">
        <f t="shared" si="1"/>
        <v>11</v>
      </c>
      <c r="B22" s="109" t="s">
        <v>504</v>
      </c>
      <c r="C22" s="109" t="s">
        <v>505</v>
      </c>
      <c r="D22" s="109" t="s">
        <v>29</v>
      </c>
      <c r="E22" s="113" t="s">
        <v>523</v>
      </c>
      <c r="F22" s="110" t="s">
        <v>524</v>
      </c>
      <c r="G22" s="52" t="s">
        <v>480</v>
      </c>
      <c r="H22" s="109"/>
      <c r="I22" s="110" t="s">
        <v>508</v>
      </c>
      <c r="J22" s="109"/>
      <c r="K22" s="117">
        <v>40917</v>
      </c>
      <c r="L22" s="117">
        <v>44258</v>
      </c>
      <c r="M22" s="117">
        <v>44622</v>
      </c>
      <c r="N22" s="117">
        <v>44622</v>
      </c>
      <c r="O22" s="192" t="s">
        <v>695</v>
      </c>
      <c r="P22" s="192" t="s">
        <v>695</v>
      </c>
      <c r="Q22" s="192" t="s">
        <v>695</v>
      </c>
    </row>
    <row r="23" spans="1:21" ht="60" outlineLevel="1" x14ac:dyDescent="0.3">
      <c r="A23" s="109">
        <f t="shared" si="1"/>
        <v>12</v>
      </c>
      <c r="B23" s="109" t="s">
        <v>504</v>
      </c>
      <c r="C23" s="109" t="s">
        <v>505</v>
      </c>
      <c r="D23" s="109" t="s">
        <v>29</v>
      </c>
      <c r="E23" s="113" t="s">
        <v>525</v>
      </c>
      <c r="F23" s="110" t="s">
        <v>526</v>
      </c>
      <c r="G23" s="52" t="s">
        <v>480</v>
      </c>
      <c r="H23" s="109"/>
      <c r="I23" s="110" t="s">
        <v>508</v>
      </c>
      <c r="J23" s="109"/>
      <c r="K23" s="117">
        <v>40917</v>
      </c>
      <c r="L23" s="117">
        <v>44258</v>
      </c>
      <c r="M23" s="117">
        <v>44622</v>
      </c>
      <c r="N23" s="117">
        <v>44622</v>
      </c>
      <c r="O23" s="192" t="s">
        <v>695</v>
      </c>
      <c r="P23" s="192" t="s">
        <v>695</v>
      </c>
      <c r="Q23" s="192" t="s">
        <v>695</v>
      </c>
    </row>
    <row r="24" spans="1:21" ht="30.75" outlineLevel="1" x14ac:dyDescent="0.3">
      <c r="A24" s="109">
        <f t="shared" si="1"/>
        <v>13</v>
      </c>
      <c r="B24" s="109" t="s">
        <v>504</v>
      </c>
      <c r="C24" s="109" t="s">
        <v>505</v>
      </c>
      <c r="D24" s="109" t="s">
        <v>29</v>
      </c>
      <c r="E24" s="113" t="s">
        <v>527</v>
      </c>
      <c r="F24" s="110" t="s">
        <v>528</v>
      </c>
      <c r="G24" s="52" t="s">
        <v>480</v>
      </c>
      <c r="H24" s="109"/>
      <c r="I24" s="110" t="s">
        <v>508</v>
      </c>
      <c r="J24" s="109"/>
      <c r="K24" s="117">
        <v>41644</v>
      </c>
      <c r="L24" s="117">
        <v>44258</v>
      </c>
      <c r="M24" s="117">
        <v>44622</v>
      </c>
      <c r="N24" s="117">
        <v>44622</v>
      </c>
      <c r="O24" s="192" t="s">
        <v>695</v>
      </c>
      <c r="P24" s="192" t="s">
        <v>695</v>
      </c>
      <c r="Q24" s="192" t="s">
        <v>695</v>
      </c>
    </row>
    <row r="25" spans="1:21" ht="30.75" outlineLevel="1" x14ac:dyDescent="0.3">
      <c r="A25" s="109">
        <f t="shared" si="1"/>
        <v>14</v>
      </c>
      <c r="B25" s="109" t="s">
        <v>504</v>
      </c>
      <c r="C25" s="109" t="s">
        <v>505</v>
      </c>
      <c r="D25" s="109" t="s">
        <v>29</v>
      </c>
      <c r="E25" s="113" t="s">
        <v>529</v>
      </c>
      <c r="F25" s="110" t="s">
        <v>528</v>
      </c>
      <c r="G25" s="52" t="s">
        <v>480</v>
      </c>
      <c r="H25" s="109"/>
      <c r="I25" s="110" t="s">
        <v>508</v>
      </c>
      <c r="J25" s="109"/>
      <c r="K25" s="117">
        <v>43833</v>
      </c>
      <c r="L25" s="117">
        <v>44258</v>
      </c>
      <c r="M25" s="117">
        <v>44622</v>
      </c>
      <c r="N25" s="117">
        <v>44622</v>
      </c>
      <c r="O25" s="192" t="s">
        <v>695</v>
      </c>
      <c r="P25" s="192" t="s">
        <v>695</v>
      </c>
      <c r="Q25" s="192" t="s">
        <v>695</v>
      </c>
    </row>
    <row r="26" spans="1:21" ht="60.75" outlineLevel="1" x14ac:dyDescent="0.3">
      <c r="A26" s="109">
        <f t="shared" si="1"/>
        <v>15</v>
      </c>
      <c r="B26" s="109" t="s">
        <v>504</v>
      </c>
      <c r="C26" s="109" t="s">
        <v>505</v>
      </c>
      <c r="D26" s="109" t="s">
        <v>29</v>
      </c>
      <c r="E26" s="110" t="s">
        <v>530</v>
      </c>
      <c r="F26" s="110" t="s">
        <v>528</v>
      </c>
      <c r="G26" s="52" t="s">
        <v>480</v>
      </c>
      <c r="H26" s="109"/>
      <c r="I26" s="110" t="s">
        <v>508</v>
      </c>
      <c r="J26" s="109"/>
      <c r="K26" s="117">
        <v>40911</v>
      </c>
      <c r="L26" s="117">
        <v>44258</v>
      </c>
      <c r="M26" s="117">
        <v>44622</v>
      </c>
      <c r="N26" s="117">
        <v>44622</v>
      </c>
      <c r="O26" s="192" t="s">
        <v>695</v>
      </c>
      <c r="P26" s="192" t="s">
        <v>695</v>
      </c>
      <c r="Q26" s="192" t="s">
        <v>695</v>
      </c>
    </row>
    <row r="27" spans="1:21" s="114" customFormat="1" x14ac:dyDescent="0.25">
      <c r="A27" s="118">
        <v>15</v>
      </c>
      <c r="B27" s="118" t="s">
        <v>505</v>
      </c>
      <c r="D27" s="115"/>
      <c r="E27" s="115"/>
    </row>
    <row r="28" spans="1:21" ht="15.75" hidden="1" outlineLevel="1" x14ac:dyDescent="0.25">
      <c r="A28" s="47">
        <v>1</v>
      </c>
      <c r="B28" s="47" t="s">
        <v>532</v>
      </c>
      <c r="C28" s="119"/>
      <c r="D28" s="47" t="s">
        <v>500</v>
      </c>
      <c r="E28" s="119" t="s">
        <v>531</v>
      </c>
      <c r="F28" s="47" t="s">
        <v>559</v>
      </c>
      <c r="G28" s="52" t="s">
        <v>480</v>
      </c>
      <c r="H28" s="47" t="s">
        <v>503</v>
      </c>
      <c r="I28" s="47"/>
      <c r="J28" s="47" t="s">
        <v>534</v>
      </c>
      <c r="K28" s="47"/>
      <c r="L28" s="120">
        <v>44432</v>
      </c>
      <c r="M28" s="120">
        <v>44796</v>
      </c>
      <c r="N28" s="120">
        <v>44797</v>
      </c>
      <c r="O28" s="47" t="s">
        <v>535</v>
      </c>
      <c r="P28" s="47" t="s">
        <v>535</v>
      </c>
      <c r="Q28" s="47" t="s">
        <v>535</v>
      </c>
      <c r="R28" s="47">
        <v>60</v>
      </c>
      <c r="S28" s="47"/>
      <c r="T28" s="47">
        <v>30</v>
      </c>
      <c r="U28" s="121">
        <v>65972</v>
      </c>
    </row>
    <row r="29" spans="1:21" ht="15.75" hidden="1" outlineLevel="1" x14ac:dyDescent="0.25">
      <c r="A29" s="47">
        <f>A28+1</f>
        <v>2</v>
      </c>
      <c r="B29" s="47" t="s">
        <v>532</v>
      </c>
      <c r="C29" s="119"/>
      <c r="D29" s="47" t="s">
        <v>500</v>
      </c>
      <c r="E29" s="119" t="s">
        <v>536</v>
      </c>
      <c r="F29" s="47" t="s">
        <v>559</v>
      </c>
      <c r="G29" s="52" t="s">
        <v>480</v>
      </c>
      <c r="H29" s="47" t="s">
        <v>503</v>
      </c>
      <c r="I29" s="47"/>
      <c r="J29" s="47" t="s">
        <v>534</v>
      </c>
      <c r="K29" s="47"/>
      <c r="L29" s="120">
        <v>44432</v>
      </c>
      <c r="M29" s="120">
        <v>44796</v>
      </c>
      <c r="N29" s="120">
        <v>44797</v>
      </c>
      <c r="O29" s="47" t="s">
        <v>535</v>
      </c>
      <c r="P29" s="47" t="s">
        <v>535</v>
      </c>
      <c r="Q29" s="47" t="s">
        <v>535</v>
      </c>
      <c r="R29" s="47">
        <v>60</v>
      </c>
      <c r="S29" s="47"/>
      <c r="T29" s="47">
        <v>30</v>
      </c>
      <c r="U29" s="121">
        <v>65973</v>
      </c>
    </row>
    <row r="30" spans="1:21" ht="15.75" hidden="1" outlineLevel="1" x14ac:dyDescent="0.25">
      <c r="A30" s="47">
        <f t="shared" ref="A30:A48" si="2">A29+1</f>
        <v>3</v>
      </c>
      <c r="B30" s="47" t="s">
        <v>532</v>
      </c>
      <c r="C30" s="119"/>
      <c r="D30" s="47" t="s">
        <v>500</v>
      </c>
      <c r="E30" s="119" t="s">
        <v>537</v>
      </c>
      <c r="F30" s="47" t="s">
        <v>559</v>
      </c>
      <c r="G30" s="52" t="s">
        <v>480</v>
      </c>
      <c r="H30" s="47" t="s">
        <v>503</v>
      </c>
      <c r="I30" s="47"/>
      <c r="J30" s="47" t="s">
        <v>534</v>
      </c>
      <c r="K30" s="47"/>
      <c r="L30" s="120">
        <v>44432</v>
      </c>
      <c r="M30" s="120">
        <v>44796</v>
      </c>
      <c r="N30" s="120">
        <v>44797</v>
      </c>
      <c r="O30" s="47" t="s">
        <v>535</v>
      </c>
      <c r="P30" s="47" t="s">
        <v>535</v>
      </c>
      <c r="Q30" s="47" t="s">
        <v>535</v>
      </c>
      <c r="R30" s="47">
        <v>60</v>
      </c>
      <c r="S30" s="47"/>
      <c r="T30" s="47">
        <v>30</v>
      </c>
      <c r="U30" s="121">
        <v>65974</v>
      </c>
    </row>
    <row r="31" spans="1:21" ht="15.75" hidden="1" outlineLevel="1" x14ac:dyDescent="0.25">
      <c r="A31" s="47">
        <f t="shared" si="2"/>
        <v>4</v>
      </c>
      <c r="B31" s="47" t="s">
        <v>532</v>
      </c>
      <c r="C31" s="119"/>
      <c r="D31" s="47" t="s">
        <v>500</v>
      </c>
      <c r="E31" s="119" t="s">
        <v>538</v>
      </c>
      <c r="F31" s="47" t="s">
        <v>559</v>
      </c>
      <c r="G31" s="52" t="s">
        <v>480</v>
      </c>
      <c r="H31" s="47" t="s">
        <v>503</v>
      </c>
      <c r="I31" s="47"/>
      <c r="J31" s="47" t="s">
        <v>534</v>
      </c>
      <c r="K31" s="47"/>
      <c r="L31" s="120">
        <v>44432</v>
      </c>
      <c r="M31" s="120">
        <v>44796</v>
      </c>
      <c r="N31" s="120">
        <v>44797</v>
      </c>
      <c r="O31" s="47" t="s">
        <v>535</v>
      </c>
      <c r="P31" s="47" t="s">
        <v>535</v>
      </c>
      <c r="Q31" s="47" t="s">
        <v>535</v>
      </c>
      <c r="R31" s="47">
        <v>60</v>
      </c>
      <c r="S31" s="47"/>
      <c r="T31" s="47">
        <v>30</v>
      </c>
      <c r="U31" s="121">
        <v>65975</v>
      </c>
    </row>
    <row r="32" spans="1:21" ht="15.75" hidden="1" outlineLevel="1" x14ac:dyDescent="0.25">
      <c r="A32" s="47">
        <f t="shared" si="2"/>
        <v>5</v>
      </c>
      <c r="B32" s="47" t="s">
        <v>532</v>
      </c>
      <c r="C32" s="119"/>
      <c r="D32" s="47" t="s">
        <v>500</v>
      </c>
      <c r="E32" s="119" t="s">
        <v>539</v>
      </c>
      <c r="F32" s="47" t="s">
        <v>559</v>
      </c>
      <c r="G32" s="52" t="s">
        <v>480</v>
      </c>
      <c r="H32" s="47" t="s">
        <v>503</v>
      </c>
      <c r="I32" s="47"/>
      <c r="J32" s="47" t="s">
        <v>534</v>
      </c>
      <c r="K32" s="47"/>
      <c r="L32" s="120">
        <v>44432</v>
      </c>
      <c r="M32" s="120">
        <v>44796</v>
      </c>
      <c r="N32" s="120">
        <v>44797</v>
      </c>
      <c r="O32" s="47" t="s">
        <v>535</v>
      </c>
      <c r="P32" s="47" t="s">
        <v>535</v>
      </c>
      <c r="Q32" s="47" t="s">
        <v>535</v>
      </c>
      <c r="R32" s="47">
        <v>60</v>
      </c>
      <c r="S32" s="47"/>
      <c r="T32" s="47">
        <v>30</v>
      </c>
      <c r="U32" s="121">
        <v>65971</v>
      </c>
    </row>
    <row r="33" spans="1:21" ht="15.75" hidden="1" outlineLevel="1" x14ac:dyDescent="0.25">
      <c r="A33" s="47">
        <f t="shared" si="2"/>
        <v>6</v>
      </c>
      <c r="B33" s="47" t="s">
        <v>532</v>
      </c>
      <c r="C33" s="119"/>
      <c r="D33" s="47" t="s">
        <v>500</v>
      </c>
      <c r="E33" s="119" t="s">
        <v>540</v>
      </c>
      <c r="F33" s="47" t="s">
        <v>559</v>
      </c>
      <c r="G33" s="52" t="s">
        <v>480</v>
      </c>
      <c r="H33" s="47" t="s">
        <v>503</v>
      </c>
      <c r="I33" s="47"/>
      <c r="J33" s="47" t="s">
        <v>534</v>
      </c>
      <c r="K33" s="47"/>
      <c r="L33" s="120">
        <v>44432</v>
      </c>
      <c r="M33" s="120">
        <v>44796</v>
      </c>
      <c r="N33" s="120">
        <v>44797</v>
      </c>
      <c r="O33" s="47" t="s">
        <v>535</v>
      </c>
      <c r="P33" s="47" t="s">
        <v>535</v>
      </c>
      <c r="Q33" s="47" t="s">
        <v>535</v>
      </c>
      <c r="R33" s="47">
        <v>60</v>
      </c>
      <c r="S33" s="47"/>
      <c r="T33" s="47">
        <v>30</v>
      </c>
      <c r="U33" s="121">
        <v>65970</v>
      </c>
    </row>
    <row r="34" spans="1:21" ht="15.75" hidden="1" outlineLevel="1" x14ac:dyDescent="0.25">
      <c r="A34" s="47">
        <f t="shared" si="2"/>
        <v>7</v>
      </c>
      <c r="B34" s="47" t="s">
        <v>532</v>
      </c>
      <c r="C34" s="119"/>
      <c r="D34" s="47" t="s">
        <v>500</v>
      </c>
      <c r="E34" s="119" t="s">
        <v>540</v>
      </c>
      <c r="F34" s="47" t="s">
        <v>559</v>
      </c>
      <c r="G34" s="52" t="s">
        <v>480</v>
      </c>
      <c r="H34" s="47" t="s">
        <v>503</v>
      </c>
      <c r="I34" s="47"/>
      <c r="J34" s="47" t="s">
        <v>534</v>
      </c>
      <c r="K34" s="47"/>
      <c r="L34" s="120">
        <v>44432</v>
      </c>
      <c r="M34" s="120">
        <v>44796</v>
      </c>
      <c r="N34" s="120">
        <v>44797</v>
      </c>
      <c r="O34" s="47" t="s">
        <v>535</v>
      </c>
      <c r="P34" s="47" t="s">
        <v>535</v>
      </c>
      <c r="Q34" s="47" t="s">
        <v>535</v>
      </c>
      <c r="R34" s="47">
        <v>60</v>
      </c>
      <c r="S34" s="47"/>
      <c r="T34" s="47">
        <v>30</v>
      </c>
      <c r="U34" s="121">
        <v>65969</v>
      </c>
    </row>
    <row r="35" spans="1:21" ht="15.75" hidden="1" outlineLevel="1" x14ac:dyDescent="0.25">
      <c r="A35" s="47">
        <f t="shared" si="2"/>
        <v>8</v>
      </c>
      <c r="B35" s="47" t="s">
        <v>532</v>
      </c>
      <c r="C35" s="119"/>
      <c r="D35" s="47" t="s">
        <v>500</v>
      </c>
      <c r="E35" s="119" t="s">
        <v>541</v>
      </c>
      <c r="F35" s="47" t="s">
        <v>559</v>
      </c>
      <c r="G35" s="52" t="s">
        <v>480</v>
      </c>
      <c r="H35" s="47" t="s">
        <v>503</v>
      </c>
      <c r="I35" s="47"/>
      <c r="J35" s="47" t="s">
        <v>534</v>
      </c>
      <c r="K35" s="47"/>
      <c r="L35" s="120">
        <v>44432</v>
      </c>
      <c r="M35" s="120">
        <v>44796</v>
      </c>
      <c r="N35" s="120">
        <v>44797</v>
      </c>
      <c r="O35" s="47" t="s">
        <v>535</v>
      </c>
      <c r="P35" s="47" t="s">
        <v>535</v>
      </c>
      <c r="Q35" s="47" t="s">
        <v>535</v>
      </c>
      <c r="R35" s="47">
        <v>60</v>
      </c>
      <c r="S35" s="47"/>
      <c r="T35" s="47">
        <v>30</v>
      </c>
      <c r="U35" s="121">
        <v>65965</v>
      </c>
    </row>
    <row r="36" spans="1:21" ht="15.75" hidden="1" outlineLevel="1" x14ac:dyDescent="0.25">
      <c r="A36" s="47">
        <f t="shared" si="2"/>
        <v>9</v>
      </c>
      <c r="B36" s="47" t="s">
        <v>532</v>
      </c>
      <c r="C36" s="119"/>
      <c r="D36" s="47" t="s">
        <v>500</v>
      </c>
      <c r="E36" s="119" t="s">
        <v>541</v>
      </c>
      <c r="F36" s="47" t="s">
        <v>559</v>
      </c>
      <c r="G36" s="52" t="s">
        <v>480</v>
      </c>
      <c r="H36" s="47" t="s">
        <v>503</v>
      </c>
      <c r="I36" s="47"/>
      <c r="J36" s="47" t="s">
        <v>534</v>
      </c>
      <c r="K36" s="47"/>
      <c r="L36" s="120">
        <v>44432</v>
      </c>
      <c r="M36" s="120">
        <v>44796</v>
      </c>
      <c r="N36" s="120">
        <v>44797</v>
      </c>
      <c r="O36" s="47" t="s">
        <v>535</v>
      </c>
      <c r="P36" s="47" t="s">
        <v>535</v>
      </c>
      <c r="Q36" s="47" t="s">
        <v>535</v>
      </c>
      <c r="R36" s="47">
        <v>60</v>
      </c>
      <c r="S36" s="47"/>
      <c r="T36" s="47">
        <v>30</v>
      </c>
      <c r="U36" s="121">
        <v>65967</v>
      </c>
    </row>
    <row r="37" spans="1:21" ht="15.75" hidden="1" outlineLevel="1" x14ac:dyDescent="0.25">
      <c r="A37" s="47">
        <f t="shared" si="2"/>
        <v>10</v>
      </c>
      <c r="B37" s="47" t="s">
        <v>532</v>
      </c>
      <c r="C37" s="119"/>
      <c r="D37" s="47" t="s">
        <v>500</v>
      </c>
      <c r="E37" s="119" t="s">
        <v>541</v>
      </c>
      <c r="F37" s="47" t="s">
        <v>559</v>
      </c>
      <c r="G37" s="52" t="s">
        <v>480</v>
      </c>
      <c r="H37" s="47" t="s">
        <v>503</v>
      </c>
      <c r="I37" s="47"/>
      <c r="J37" s="47" t="s">
        <v>534</v>
      </c>
      <c r="K37" s="47"/>
      <c r="L37" s="120">
        <v>44432</v>
      </c>
      <c r="M37" s="120">
        <v>44796</v>
      </c>
      <c r="N37" s="120">
        <v>44797</v>
      </c>
      <c r="O37" s="47" t="s">
        <v>535</v>
      </c>
      <c r="P37" s="47" t="s">
        <v>535</v>
      </c>
      <c r="Q37" s="47" t="s">
        <v>535</v>
      </c>
      <c r="R37" s="47">
        <v>60</v>
      </c>
      <c r="S37" s="47"/>
      <c r="T37" s="47">
        <v>30</v>
      </c>
      <c r="U37" s="121">
        <v>65966</v>
      </c>
    </row>
    <row r="38" spans="1:21" ht="15.75" hidden="1" outlineLevel="1" x14ac:dyDescent="0.25">
      <c r="A38" s="47">
        <f t="shared" si="2"/>
        <v>11</v>
      </c>
      <c r="B38" s="47" t="s">
        <v>532</v>
      </c>
      <c r="C38" s="119"/>
      <c r="D38" s="47" t="s">
        <v>500</v>
      </c>
      <c r="E38" s="119" t="s">
        <v>541</v>
      </c>
      <c r="F38" s="47" t="s">
        <v>559</v>
      </c>
      <c r="G38" s="52" t="s">
        <v>480</v>
      </c>
      <c r="H38" s="47" t="s">
        <v>503</v>
      </c>
      <c r="I38" s="47"/>
      <c r="J38" s="47" t="s">
        <v>534</v>
      </c>
      <c r="K38" s="47"/>
      <c r="L38" s="120">
        <v>44432</v>
      </c>
      <c r="M38" s="120">
        <v>44796</v>
      </c>
      <c r="N38" s="120">
        <v>44797</v>
      </c>
      <c r="O38" s="47" t="s">
        <v>535</v>
      </c>
      <c r="P38" s="47" t="s">
        <v>535</v>
      </c>
      <c r="Q38" s="47" t="s">
        <v>535</v>
      </c>
      <c r="R38" s="47">
        <v>60</v>
      </c>
      <c r="S38" s="47"/>
      <c r="T38" s="47">
        <v>30</v>
      </c>
      <c r="U38" s="121">
        <v>65964</v>
      </c>
    </row>
    <row r="39" spans="1:21" ht="15.75" hidden="1" outlineLevel="1" x14ac:dyDescent="0.25">
      <c r="A39" s="47">
        <f t="shared" si="2"/>
        <v>12</v>
      </c>
      <c r="B39" s="47" t="s">
        <v>532</v>
      </c>
      <c r="C39" s="119"/>
      <c r="D39" s="47" t="s">
        <v>500</v>
      </c>
      <c r="E39" s="119" t="s">
        <v>542</v>
      </c>
      <c r="F39" s="47" t="s">
        <v>559</v>
      </c>
      <c r="G39" s="52" t="s">
        <v>480</v>
      </c>
      <c r="H39" s="47" t="s">
        <v>503</v>
      </c>
      <c r="I39" s="47"/>
      <c r="J39" s="47" t="s">
        <v>534</v>
      </c>
      <c r="K39" s="47"/>
      <c r="L39" s="120">
        <v>44434</v>
      </c>
      <c r="M39" s="120">
        <v>44798</v>
      </c>
      <c r="N39" s="120">
        <v>44799</v>
      </c>
      <c r="O39" s="47" t="s">
        <v>535</v>
      </c>
      <c r="P39" s="47" t="s">
        <v>535</v>
      </c>
      <c r="Q39" s="47" t="s">
        <v>535</v>
      </c>
      <c r="R39" s="47">
        <v>60</v>
      </c>
      <c r="S39" s="47"/>
      <c r="T39" s="47">
        <v>30</v>
      </c>
      <c r="U39" s="121">
        <v>65980</v>
      </c>
    </row>
    <row r="40" spans="1:21" ht="15.75" hidden="1" outlineLevel="1" x14ac:dyDescent="0.25">
      <c r="A40" s="47">
        <f t="shared" si="2"/>
        <v>13</v>
      </c>
      <c r="B40" s="47" t="s">
        <v>532</v>
      </c>
      <c r="C40" s="119"/>
      <c r="D40" s="47" t="s">
        <v>500</v>
      </c>
      <c r="E40" s="119" t="s">
        <v>543</v>
      </c>
      <c r="F40" s="47" t="s">
        <v>559</v>
      </c>
      <c r="G40" s="52" t="s">
        <v>480</v>
      </c>
      <c r="H40" s="47" t="s">
        <v>503</v>
      </c>
      <c r="I40" s="47"/>
      <c r="J40" s="47" t="s">
        <v>534</v>
      </c>
      <c r="K40" s="47"/>
      <c r="L40" s="120">
        <v>44442</v>
      </c>
      <c r="M40" s="120">
        <v>44806</v>
      </c>
      <c r="N40" s="120">
        <v>44807</v>
      </c>
      <c r="O40" s="47" t="s">
        <v>535</v>
      </c>
      <c r="P40" s="47" t="s">
        <v>535</v>
      </c>
      <c r="Q40" s="47" t="s">
        <v>535</v>
      </c>
      <c r="R40" s="47">
        <v>60</v>
      </c>
      <c r="S40" s="47"/>
      <c r="T40" s="47">
        <v>30</v>
      </c>
      <c r="U40" s="121">
        <v>64390</v>
      </c>
    </row>
    <row r="41" spans="1:21" ht="22.5" hidden="1" outlineLevel="1" x14ac:dyDescent="0.25">
      <c r="A41" s="47">
        <f t="shared" si="2"/>
        <v>14</v>
      </c>
      <c r="B41" s="47" t="s">
        <v>532</v>
      </c>
      <c r="C41" s="119"/>
      <c r="D41" s="47" t="s">
        <v>500</v>
      </c>
      <c r="E41" s="119" t="s">
        <v>544</v>
      </c>
      <c r="F41" s="47" t="s">
        <v>559</v>
      </c>
      <c r="G41" s="52" t="s">
        <v>480</v>
      </c>
      <c r="H41" s="47" t="s">
        <v>503</v>
      </c>
      <c r="I41" s="47"/>
      <c r="J41" s="47" t="s">
        <v>534</v>
      </c>
      <c r="K41" s="47"/>
      <c r="L41" s="120">
        <v>44441</v>
      </c>
      <c r="M41" s="120">
        <v>44805</v>
      </c>
      <c r="N41" s="120">
        <v>44806</v>
      </c>
      <c r="O41" s="47" t="s">
        <v>535</v>
      </c>
      <c r="P41" s="47" t="s">
        <v>535</v>
      </c>
      <c r="Q41" s="47" t="s">
        <v>535</v>
      </c>
      <c r="R41" s="47">
        <v>60</v>
      </c>
      <c r="S41" s="47"/>
      <c r="T41" s="47">
        <v>30</v>
      </c>
      <c r="U41" s="122" t="s">
        <v>545</v>
      </c>
    </row>
    <row r="42" spans="1:21" ht="22.5" hidden="1" outlineLevel="1" x14ac:dyDescent="0.25">
      <c r="A42" s="47">
        <f t="shared" si="2"/>
        <v>15</v>
      </c>
      <c r="B42" s="47" t="s">
        <v>532</v>
      </c>
      <c r="C42" s="119"/>
      <c r="D42" s="47" t="s">
        <v>500</v>
      </c>
      <c r="E42" s="119" t="s">
        <v>544</v>
      </c>
      <c r="F42" s="47" t="s">
        <v>559</v>
      </c>
      <c r="G42" s="52" t="s">
        <v>480</v>
      </c>
      <c r="H42" s="47" t="s">
        <v>503</v>
      </c>
      <c r="I42" s="47"/>
      <c r="J42" s="47" t="s">
        <v>534</v>
      </c>
      <c r="K42" s="47"/>
      <c r="L42" s="120">
        <v>44441</v>
      </c>
      <c r="M42" s="120">
        <v>44805</v>
      </c>
      <c r="N42" s="120">
        <v>44806</v>
      </c>
      <c r="O42" s="47" t="s">
        <v>535</v>
      </c>
      <c r="P42" s="47" t="s">
        <v>535</v>
      </c>
      <c r="Q42" s="47" t="s">
        <v>535</v>
      </c>
      <c r="R42" s="47">
        <v>60</v>
      </c>
      <c r="S42" s="47"/>
      <c r="T42" s="47">
        <v>30</v>
      </c>
      <c r="U42" s="122" t="s">
        <v>546</v>
      </c>
    </row>
    <row r="43" spans="1:21" ht="15.75" hidden="1" outlineLevel="1" x14ac:dyDescent="0.25">
      <c r="A43" s="47">
        <f t="shared" si="2"/>
        <v>16</v>
      </c>
      <c r="B43" s="47" t="s">
        <v>532</v>
      </c>
      <c r="C43" s="119"/>
      <c r="D43" s="47" t="s">
        <v>500</v>
      </c>
      <c r="E43" s="119" t="s">
        <v>541</v>
      </c>
      <c r="F43" s="47" t="s">
        <v>559</v>
      </c>
      <c r="G43" s="52" t="s">
        <v>480</v>
      </c>
      <c r="H43" s="47" t="s">
        <v>503</v>
      </c>
      <c r="I43" s="47"/>
      <c r="J43" s="47" t="s">
        <v>534</v>
      </c>
      <c r="K43" s="47"/>
      <c r="L43" s="120">
        <v>44432</v>
      </c>
      <c r="M43" s="120">
        <v>44796</v>
      </c>
      <c r="N43" s="120">
        <v>44798</v>
      </c>
      <c r="O43" s="47" t="s">
        <v>535</v>
      </c>
      <c r="P43" s="47" t="s">
        <v>535</v>
      </c>
      <c r="Q43" s="47" t="s">
        <v>535</v>
      </c>
      <c r="R43" s="47">
        <v>60</v>
      </c>
      <c r="S43" s="47"/>
      <c r="T43" s="47">
        <v>30</v>
      </c>
      <c r="U43" s="121">
        <v>65963</v>
      </c>
    </row>
    <row r="44" spans="1:21" ht="15.75" hidden="1" outlineLevel="1" x14ac:dyDescent="0.25">
      <c r="A44" s="47">
        <f t="shared" si="2"/>
        <v>17</v>
      </c>
      <c r="B44" s="47" t="s">
        <v>532</v>
      </c>
      <c r="C44" s="119"/>
      <c r="D44" s="47" t="s">
        <v>500</v>
      </c>
      <c r="E44" s="119" t="s">
        <v>547</v>
      </c>
      <c r="F44" s="47" t="s">
        <v>559</v>
      </c>
      <c r="G44" s="52" t="s">
        <v>480</v>
      </c>
      <c r="H44" s="47" t="s">
        <v>503</v>
      </c>
      <c r="I44" s="47"/>
      <c r="J44" s="47" t="s">
        <v>534</v>
      </c>
      <c r="K44" s="47"/>
      <c r="L44" s="120">
        <v>44434</v>
      </c>
      <c r="M44" s="120">
        <v>44798</v>
      </c>
      <c r="N44" s="120">
        <v>44799</v>
      </c>
      <c r="O44" s="47" t="s">
        <v>535</v>
      </c>
      <c r="P44" s="47" t="s">
        <v>535</v>
      </c>
      <c r="Q44" s="47" t="s">
        <v>535</v>
      </c>
      <c r="R44" s="47">
        <v>60</v>
      </c>
      <c r="S44" s="47"/>
      <c r="T44" s="47">
        <v>30</v>
      </c>
      <c r="U44" s="121">
        <v>65981</v>
      </c>
    </row>
    <row r="45" spans="1:21" ht="15.75" hidden="1" outlineLevel="1" x14ac:dyDescent="0.25">
      <c r="A45" s="47">
        <f t="shared" si="2"/>
        <v>18</v>
      </c>
      <c r="B45" s="2" t="s">
        <v>532</v>
      </c>
      <c r="C45" s="123"/>
      <c r="D45" s="2" t="s">
        <v>549</v>
      </c>
      <c r="E45" s="123" t="s">
        <v>548</v>
      </c>
      <c r="F45" s="47" t="s">
        <v>559</v>
      </c>
      <c r="G45" s="4" t="s">
        <v>431</v>
      </c>
      <c r="H45" s="2" t="s">
        <v>503</v>
      </c>
      <c r="I45" s="4"/>
      <c r="J45" s="2" t="s">
        <v>534</v>
      </c>
      <c r="K45" s="4"/>
      <c r="L45" s="120">
        <v>44660</v>
      </c>
      <c r="M45" s="120">
        <v>44842</v>
      </c>
      <c r="N45" s="120">
        <v>44842</v>
      </c>
      <c r="O45" s="2" t="s">
        <v>535</v>
      </c>
      <c r="P45" s="2" t="s">
        <v>535</v>
      </c>
      <c r="Q45" s="2" t="s">
        <v>535</v>
      </c>
      <c r="R45" s="2">
        <v>30</v>
      </c>
      <c r="S45" s="2"/>
      <c r="T45" s="2">
        <v>10</v>
      </c>
      <c r="U45" s="2" t="s">
        <v>550</v>
      </c>
    </row>
    <row r="46" spans="1:21" ht="30" hidden="1" outlineLevel="1" x14ac:dyDescent="0.25">
      <c r="A46" s="47">
        <f t="shared" si="2"/>
        <v>19</v>
      </c>
      <c r="B46" s="2" t="s">
        <v>532</v>
      </c>
      <c r="C46" s="3"/>
      <c r="D46" s="2" t="s">
        <v>552</v>
      </c>
      <c r="E46" s="3" t="s">
        <v>551</v>
      </c>
      <c r="F46" s="47" t="s">
        <v>559</v>
      </c>
      <c r="G46" s="2" t="s">
        <v>553</v>
      </c>
      <c r="H46" s="2" t="s">
        <v>503</v>
      </c>
      <c r="I46" s="4"/>
      <c r="J46" s="2" t="s">
        <v>534</v>
      </c>
      <c r="K46" s="4"/>
      <c r="L46" s="120">
        <v>44678</v>
      </c>
      <c r="M46" s="120">
        <v>45044</v>
      </c>
      <c r="N46" s="120">
        <v>45044</v>
      </c>
      <c r="O46" s="2" t="s">
        <v>535</v>
      </c>
      <c r="P46" s="2" t="s">
        <v>535</v>
      </c>
      <c r="Q46" s="2" t="s">
        <v>535</v>
      </c>
      <c r="R46" s="2">
        <v>30</v>
      </c>
      <c r="S46" s="2"/>
      <c r="T46" s="2">
        <v>10</v>
      </c>
      <c r="U46" s="2" t="s">
        <v>550</v>
      </c>
    </row>
    <row r="47" spans="1:21" ht="15.75" hidden="1" outlineLevel="1" x14ac:dyDescent="0.25">
      <c r="A47" s="47">
        <f t="shared" si="2"/>
        <v>20</v>
      </c>
      <c r="B47" s="2" t="s">
        <v>532</v>
      </c>
      <c r="C47" s="123"/>
      <c r="D47" s="2" t="s">
        <v>555</v>
      </c>
      <c r="E47" s="123" t="s">
        <v>554</v>
      </c>
      <c r="F47" s="47" t="s">
        <v>559</v>
      </c>
      <c r="G47" s="2" t="s">
        <v>553</v>
      </c>
      <c r="H47" s="2" t="s">
        <v>503</v>
      </c>
      <c r="I47" s="4"/>
      <c r="J47" s="2" t="s">
        <v>534</v>
      </c>
      <c r="K47" s="4"/>
      <c r="L47" s="120">
        <v>44425</v>
      </c>
      <c r="M47" s="120">
        <v>45156</v>
      </c>
      <c r="N47" s="120">
        <v>45156</v>
      </c>
      <c r="O47" s="2" t="s">
        <v>535</v>
      </c>
      <c r="P47" s="2" t="s">
        <v>535</v>
      </c>
      <c r="Q47" s="2" t="s">
        <v>535</v>
      </c>
      <c r="R47" s="2">
        <v>30</v>
      </c>
      <c r="S47" s="2"/>
      <c r="T47" s="2">
        <v>10</v>
      </c>
      <c r="U47" s="2" t="s">
        <v>550</v>
      </c>
    </row>
    <row r="48" spans="1:21" ht="15.75" hidden="1" outlineLevel="1" x14ac:dyDescent="0.25">
      <c r="A48" s="47">
        <f t="shared" si="2"/>
        <v>21</v>
      </c>
      <c r="B48" s="2" t="s">
        <v>532</v>
      </c>
      <c r="C48" s="124"/>
      <c r="D48" s="2" t="s">
        <v>557</v>
      </c>
      <c r="E48" s="124" t="s">
        <v>556</v>
      </c>
      <c r="F48" s="47" t="s">
        <v>559</v>
      </c>
      <c r="G48" s="2" t="s">
        <v>553</v>
      </c>
      <c r="H48" s="2" t="s">
        <v>503</v>
      </c>
      <c r="I48" s="4"/>
      <c r="J48" s="2" t="s">
        <v>534</v>
      </c>
      <c r="K48" s="4"/>
      <c r="L48" s="120">
        <v>44425</v>
      </c>
      <c r="M48" s="120">
        <v>45156</v>
      </c>
      <c r="N48" s="120">
        <v>45156</v>
      </c>
      <c r="O48" s="2" t="s">
        <v>535</v>
      </c>
      <c r="P48" s="2" t="s">
        <v>535</v>
      </c>
      <c r="Q48" s="2" t="s">
        <v>535</v>
      </c>
      <c r="R48" s="2">
        <v>30</v>
      </c>
      <c r="S48" s="2"/>
      <c r="T48" s="2">
        <v>10</v>
      </c>
      <c r="U48" s="2" t="s">
        <v>550</v>
      </c>
    </row>
    <row r="49" spans="1:20" s="114" customFormat="1" collapsed="1" x14ac:dyDescent="0.25">
      <c r="A49" s="118">
        <v>21</v>
      </c>
      <c r="B49" s="118" t="s">
        <v>558</v>
      </c>
      <c r="D49" s="115"/>
      <c r="E49" s="115"/>
    </row>
    <row r="50" spans="1:20" hidden="1" outlineLevel="1" x14ac:dyDescent="0.25">
      <c r="A50">
        <v>1</v>
      </c>
      <c r="B50" t="s">
        <v>560</v>
      </c>
      <c r="C50" t="s">
        <v>561</v>
      </c>
      <c r="D50" s="47" t="s">
        <v>562</v>
      </c>
      <c r="E50" s="47" t="s">
        <v>563</v>
      </c>
      <c r="F50" t="s">
        <v>564</v>
      </c>
      <c r="G50" t="s">
        <v>565</v>
      </c>
      <c r="L50" s="125">
        <v>44641</v>
      </c>
      <c r="M50" s="125">
        <v>45006</v>
      </c>
      <c r="N50" s="126">
        <f>M50</f>
        <v>45006</v>
      </c>
      <c r="Q50" t="s">
        <v>566</v>
      </c>
      <c r="R50" t="s">
        <v>567</v>
      </c>
      <c r="S50" t="s">
        <v>568</v>
      </c>
      <c r="T50" t="s">
        <v>569</v>
      </c>
    </row>
    <row r="51" spans="1:20" hidden="1" outlineLevel="1" x14ac:dyDescent="0.25">
      <c r="A51">
        <f>A50+1</f>
        <v>2</v>
      </c>
      <c r="B51" t="s">
        <v>560</v>
      </c>
      <c r="C51" t="s">
        <v>561</v>
      </c>
      <c r="D51" s="47" t="s">
        <v>570</v>
      </c>
      <c r="E51" s="47" t="s">
        <v>571</v>
      </c>
      <c r="F51" t="s">
        <v>564</v>
      </c>
      <c r="G51" t="s">
        <v>15</v>
      </c>
      <c r="L51" s="52"/>
      <c r="M51" s="52"/>
      <c r="N51" s="126"/>
      <c r="Q51" t="s">
        <v>566</v>
      </c>
      <c r="R51" t="s">
        <v>572</v>
      </c>
      <c r="S51" t="s">
        <v>569</v>
      </c>
      <c r="T51" t="s">
        <v>573</v>
      </c>
    </row>
    <row r="52" spans="1:20" ht="15.75" hidden="1" outlineLevel="1" x14ac:dyDescent="0.25">
      <c r="A52">
        <f t="shared" ref="A52:A115" si="3">A51+1</f>
        <v>3</v>
      </c>
      <c r="B52" t="s">
        <v>560</v>
      </c>
      <c r="C52" t="s">
        <v>561</v>
      </c>
      <c r="D52" s="47" t="s">
        <v>574</v>
      </c>
      <c r="E52" s="127" t="s">
        <v>575</v>
      </c>
      <c r="F52" t="s">
        <v>576</v>
      </c>
      <c r="G52" t="s">
        <v>565</v>
      </c>
      <c r="H52" t="s">
        <v>577</v>
      </c>
      <c r="I52" t="s">
        <v>578</v>
      </c>
      <c r="J52" t="s">
        <v>579</v>
      </c>
      <c r="L52" s="125">
        <v>44562</v>
      </c>
      <c r="M52" s="125">
        <v>44926</v>
      </c>
      <c r="N52" s="126">
        <f t="shared" ref="N52:N115" si="4">M52</f>
        <v>44926</v>
      </c>
      <c r="Q52" t="s">
        <v>566</v>
      </c>
      <c r="R52" t="s">
        <v>567</v>
      </c>
      <c r="S52" t="s">
        <v>568</v>
      </c>
      <c r="T52" t="s">
        <v>569</v>
      </c>
    </row>
    <row r="53" spans="1:20" ht="15.75" hidden="1" outlineLevel="1" x14ac:dyDescent="0.25">
      <c r="A53">
        <f t="shared" si="3"/>
        <v>4</v>
      </c>
      <c r="B53" t="s">
        <v>560</v>
      </c>
      <c r="C53" t="s">
        <v>561</v>
      </c>
      <c r="D53" s="47" t="s">
        <v>574</v>
      </c>
      <c r="E53" s="127" t="s">
        <v>580</v>
      </c>
      <c r="F53" t="s">
        <v>576</v>
      </c>
      <c r="G53" t="s">
        <v>565</v>
      </c>
      <c r="H53" t="s">
        <v>577</v>
      </c>
      <c r="I53" t="s">
        <v>578</v>
      </c>
      <c r="J53" t="s">
        <v>579</v>
      </c>
      <c r="L53" s="125">
        <v>44562</v>
      </c>
      <c r="M53" s="125">
        <v>44926</v>
      </c>
      <c r="N53" s="126">
        <f t="shared" si="4"/>
        <v>44926</v>
      </c>
      <c r="Q53" t="s">
        <v>566</v>
      </c>
      <c r="R53" t="s">
        <v>567</v>
      </c>
      <c r="S53" t="s">
        <v>568</v>
      </c>
      <c r="T53" t="s">
        <v>569</v>
      </c>
    </row>
    <row r="54" spans="1:20" ht="15.75" hidden="1" outlineLevel="1" x14ac:dyDescent="0.25">
      <c r="A54">
        <f t="shared" si="3"/>
        <v>5</v>
      </c>
      <c r="B54" t="s">
        <v>560</v>
      </c>
      <c r="C54" t="s">
        <v>561</v>
      </c>
      <c r="D54" s="47" t="s">
        <v>574</v>
      </c>
      <c r="E54" s="127" t="s">
        <v>581</v>
      </c>
      <c r="F54" t="s">
        <v>576</v>
      </c>
      <c r="G54" t="s">
        <v>565</v>
      </c>
      <c r="H54" t="s">
        <v>577</v>
      </c>
      <c r="I54" t="s">
        <v>578</v>
      </c>
      <c r="J54" t="s">
        <v>579</v>
      </c>
      <c r="L54" s="125">
        <v>44562</v>
      </c>
      <c r="M54" s="125">
        <v>44926</v>
      </c>
      <c r="N54" s="126">
        <f t="shared" si="4"/>
        <v>44926</v>
      </c>
      <c r="Q54" t="s">
        <v>566</v>
      </c>
      <c r="R54" t="s">
        <v>567</v>
      </c>
      <c r="S54" t="s">
        <v>568</v>
      </c>
      <c r="T54" t="s">
        <v>569</v>
      </c>
    </row>
    <row r="55" spans="1:20" ht="15.75" hidden="1" outlineLevel="1" x14ac:dyDescent="0.25">
      <c r="A55">
        <f t="shared" si="3"/>
        <v>6</v>
      </c>
      <c r="B55" t="s">
        <v>560</v>
      </c>
      <c r="C55" t="s">
        <v>561</v>
      </c>
      <c r="D55" s="47" t="s">
        <v>574</v>
      </c>
      <c r="E55" s="127" t="s">
        <v>582</v>
      </c>
      <c r="F55" t="s">
        <v>576</v>
      </c>
      <c r="G55" t="s">
        <v>565</v>
      </c>
      <c r="H55" t="s">
        <v>577</v>
      </c>
      <c r="I55" t="s">
        <v>578</v>
      </c>
      <c r="J55" t="s">
        <v>579</v>
      </c>
      <c r="L55" s="125">
        <v>44562</v>
      </c>
      <c r="M55" s="125">
        <v>44926</v>
      </c>
      <c r="N55" s="126">
        <f t="shared" si="4"/>
        <v>44926</v>
      </c>
      <c r="Q55" t="s">
        <v>566</v>
      </c>
      <c r="R55" t="s">
        <v>567</v>
      </c>
      <c r="S55" t="s">
        <v>568</v>
      </c>
      <c r="T55" t="s">
        <v>569</v>
      </c>
    </row>
    <row r="56" spans="1:20" ht="15.75" hidden="1" outlineLevel="1" x14ac:dyDescent="0.25">
      <c r="A56">
        <f t="shared" si="3"/>
        <v>7</v>
      </c>
      <c r="B56" t="s">
        <v>560</v>
      </c>
      <c r="C56" t="s">
        <v>561</v>
      </c>
      <c r="D56" s="47" t="s">
        <v>574</v>
      </c>
      <c r="E56" s="127" t="s">
        <v>583</v>
      </c>
      <c r="F56" t="s">
        <v>576</v>
      </c>
      <c r="G56" t="s">
        <v>565</v>
      </c>
      <c r="H56" t="s">
        <v>577</v>
      </c>
      <c r="I56" t="s">
        <v>578</v>
      </c>
      <c r="J56" t="s">
        <v>579</v>
      </c>
      <c r="L56" s="125">
        <v>44562</v>
      </c>
      <c r="M56" s="125">
        <v>44926</v>
      </c>
      <c r="N56" s="126">
        <f t="shared" si="4"/>
        <v>44926</v>
      </c>
      <c r="Q56" t="s">
        <v>566</v>
      </c>
      <c r="R56" t="s">
        <v>567</v>
      </c>
      <c r="S56" t="s">
        <v>568</v>
      </c>
      <c r="T56" t="s">
        <v>569</v>
      </c>
    </row>
    <row r="57" spans="1:20" ht="15.75" hidden="1" outlineLevel="1" x14ac:dyDescent="0.25">
      <c r="A57">
        <f t="shared" si="3"/>
        <v>8</v>
      </c>
      <c r="B57" t="s">
        <v>560</v>
      </c>
      <c r="C57" t="s">
        <v>561</v>
      </c>
      <c r="D57" s="47" t="s">
        <v>574</v>
      </c>
      <c r="E57" s="127" t="s">
        <v>584</v>
      </c>
      <c r="F57" t="s">
        <v>576</v>
      </c>
      <c r="G57" t="s">
        <v>565</v>
      </c>
      <c r="H57" t="s">
        <v>577</v>
      </c>
      <c r="I57" t="s">
        <v>578</v>
      </c>
      <c r="J57" t="s">
        <v>579</v>
      </c>
      <c r="L57" s="125">
        <v>44562</v>
      </c>
      <c r="M57" s="125">
        <v>44926</v>
      </c>
      <c r="N57" s="126">
        <f t="shared" si="4"/>
        <v>44926</v>
      </c>
      <c r="Q57" t="s">
        <v>566</v>
      </c>
      <c r="R57" t="s">
        <v>567</v>
      </c>
      <c r="S57" t="s">
        <v>568</v>
      </c>
      <c r="T57" t="s">
        <v>569</v>
      </c>
    </row>
    <row r="58" spans="1:20" ht="15.75" hidden="1" outlineLevel="1" x14ac:dyDescent="0.25">
      <c r="A58">
        <f t="shared" si="3"/>
        <v>9</v>
      </c>
      <c r="B58" t="s">
        <v>560</v>
      </c>
      <c r="C58" t="s">
        <v>561</v>
      </c>
      <c r="D58" s="47" t="s">
        <v>574</v>
      </c>
      <c r="E58" s="127" t="s">
        <v>585</v>
      </c>
      <c r="F58" t="s">
        <v>576</v>
      </c>
      <c r="G58" t="s">
        <v>565</v>
      </c>
      <c r="H58" t="s">
        <v>577</v>
      </c>
      <c r="I58" t="s">
        <v>578</v>
      </c>
      <c r="J58" t="s">
        <v>579</v>
      </c>
      <c r="L58" s="125">
        <v>44562</v>
      </c>
      <c r="M58" s="125">
        <v>44926</v>
      </c>
      <c r="N58" s="126">
        <f t="shared" si="4"/>
        <v>44926</v>
      </c>
      <c r="Q58" t="s">
        <v>566</v>
      </c>
      <c r="R58" t="s">
        <v>567</v>
      </c>
      <c r="S58" t="s">
        <v>568</v>
      </c>
      <c r="T58" t="s">
        <v>569</v>
      </c>
    </row>
    <row r="59" spans="1:20" ht="15.75" hidden="1" outlineLevel="1" x14ac:dyDescent="0.25">
      <c r="A59">
        <f t="shared" si="3"/>
        <v>10</v>
      </c>
      <c r="B59" t="s">
        <v>560</v>
      </c>
      <c r="C59" t="s">
        <v>561</v>
      </c>
      <c r="D59" s="47" t="s">
        <v>574</v>
      </c>
      <c r="E59" s="127" t="s">
        <v>586</v>
      </c>
      <c r="F59" t="s">
        <v>576</v>
      </c>
      <c r="G59" t="s">
        <v>565</v>
      </c>
      <c r="H59" t="s">
        <v>577</v>
      </c>
      <c r="I59" t="s">
        <v>578</v>
      </c>
      <c r="J59" t="s">
        <v>579</v>
      </c>
      <c r="L59" s="125">
        <v>44562</v>
      </c>
      <c r="M59" s="125">
        <v>44926</v>
      </c>
      <c r="N59" s="126">
        <f t="shared" si="4"/>
        <v>44926</v>
      </c>
      <c r="Q59" t="s">
        <v>566</v>
      </c>
      <c r="R59" t="s">
        <v>567</v>
      </c>
      <c r="S59" t="s">
        <v>568</v>
      </c>
      <c r="T59" t="s">
        <v>569</v>
      </c>
    </row>
    <row r="60" spans="1:20" ht="15.75" hidden="1" outlineLevel="1" x14ac:dyDescent="0.25">
      <c r="A60">
        <f t="shared" si="3"/>
        <v>11</v>
      </c>
      <c r="B60" t="s">
        <v>560</v>
      </c>
      <c r="C60" t="s">
        <v>561</v>
      </c>
      <c r="D60" s="47" t="s">
        <v>574</v>
      </c>
      <c r="E60" s="127" t="s">
        <v>587</v>
      </c>
      <c r="F60" t="s">
        <v>576</v>
      </c>
      <c r="G60" t="s">
        <v>565</v>
      </c>
      <c r="H60" t="s">
        <v>577</v>
      </c>
      <c r="I60" t="s">
        <v>578</v>
      </c>
      <c r="J60" t="s">
        <v>579</v>
      </c>
      <c r="L60" s="125">
        <v>44562</v>
      </c>
      <c r="M60" s="125">
        <v>44926</v>
      </c>
      <c r="N60" s="126">
        <f t="shared" si="4"/>
        <v>44926</v>
      </c>
      <c r="Q60" t="s">
        <v>566</v>
      </c>
      <c r="R60" t="s">
        <v>567</v>
      </c>
      <c r="S60" t="s">
        <v>568</v>
      </c>
      <c r="T60" t="s">
        <v>569</v>
      </c>
    </row>
    <row r="61" spans="1:20" ht="15.75" hidden="1" outlineLevel="1" x14ac:dyDescent="0.25">
      <c r="A61">
        <f t="shared" si="3"/>
        <v>12</v>
      </c>
      <c r="B61" t="s">
        <v>560</v>
      </c>
      <c r="C61" t="s">
        <v>561</v>
      </c>
      <c r="D61" s="47" t="s">
        <v>574</v>
      </c>
      <c r="E61" s="127" t="s">
        <v>588</v>
      </c>
      <c r="F61" t="s">
        <v>576</v>
      </c>
      <c r="G61" t="s">
        <v>565</v>
      </c>
      <c r="H61" t="s">
        <v>577</v>
      </c>
      <c r="I61" t="s">
        <v>578</v>
      </c>
      <c r="J61" t="s">
        <v>579</v>
      </c>
      <c r="L61" s="125">
        <v>44562</v>
      </c>
      <c r="M61" s="125">
        <v>44926</v>
      </c>
      <c r="N61" s="126">
        <f t="shared" si="4"/>
        <v>44926</v>
      </c>
      <c r="Q61" t="s">
        <v>566</v>
      </c>
      <c r="R61" t="s">
        <v>567</v>
      </c>
      <c r="S61" t="s">
        <v>568</v>
      </c>
      <c r="T61" t="s">
        <v>569</v>
      </c>
    </row>
    <row r="62" spans="1:20" ht="15.75" hidden="1" outlineLevel="1" x14ac:dyDescent="0.25">
      <c r="A62">
        <f t="shared" si="3"/>
        <v>13</v>
      </c>
      <c r="B62" t="s">
        <v>560</v>
      </c>
      <c r="C62" t="s">
        <v>561</v>
      </c>
      <c r="D62" s="47" t="s">
        <v>574</v>
      </c>
      <c r="E62" s="127" t="s">
        <v>589</v>
      </c>
      <c r="F62" t="s">
        <v>576</v>
      </c>
      <c r="G62" t="s">
        <v>565</v>
      </c>
      <c r="H62" t="s">
        <v>577</v>
      </c>
      <c r="I62" t="s">
        <v>578</v>
      </c>
      <c r="J62" t="s">
        <v>579</v>
      </c>
      <c r="L62" s="125">
        <v>44562</v>
      </c>
      <c r="M62" s="125">
        <v>44926</v>
      </c>
      <c r="N62" s="126">
        <f t="shared" si="4"/>
        <v>44926</v>
      </c>
      <c r="Q62" t="s">
        <v>566</v>
      </c>
      <c r="R62" t="s">
        <v>567</v>
      </c>
      <c r="S62" t="s">
        <v>568</v>
      </c>
      <c r="T62" t="s">
        <v>569</v>
      </c>
    </row>
    <row r="63" spans="1:20" ht="15.75" hidden="1" outlineLevel="1" x14ac:dyDescent="0.25">
      <c r="A63">
        <f t="shared" si="3"/>
        <v>14</v>
      </c>
      <c r="B63" t="s">
        <v>560</v>
      </c>
      <c r="C63" t="s">
        <v>561</v>
      </c>
      <c r="D63" s="47" t="s">
        <v>574</v>
      </c>
      <c r="E63" s="127" t="s">
        <v>590</v>
      </c>
      <c r="F63" t="s">
        <v>576</v>
      </c>
      <c r="G63" t="s">
        <v>565</v>
      </c>
      <c r="H63" t="s">
        <v>577</v>
      </c>
      <c r="I63" t="s">
        <v>578</v>
      </c>
      <c r="J63" t="s">
        <v>579</v>
      </c>
      <c r="L63" s="125">
        <v>44562</v>
      </c>
      <c r="M63" s="125">
        <v>44926</v>
      </c>
      <c r="N63" s="126">
        <f t="shared" si="4"/>
        <v>44926</v>
      </c>
      <c r="Q63" t="s">
        <v>566</v>
      </c>
      <c r="R63" t="s">
        <v>567</v>
      </c>
      <c r="S63" t="s">
        <v>568</v>
      </c>
      <c r="T63" t="s">
        <v>569</v>
      </c>
    </row>
    <row r="64" spans="1:20" ht="15.75" hidden="1" outlineLevel="1" x14ac:dyDescent="0.25">
      <c r="A64">
        <f t="shared" si="3"/>
        <v>15</v>
      </c>
      <c r="B64" t="s">
        <v>560</v>
      </c>
      <c r="C64" t="s">
        <v>561</v>
      </c>
      <c r="D64" s="47" t="s">
        <v>574</v>
      </c>
      <c r="E64" s="127" t="s">
        <v>591</v>
      </c>
      <c r="F64" t="s">
        <v>576</v>
      </c>
      <c r="G64" t="s">
        <v>565</v>
      </c>
      <c r="H64" t="s">
        <v>577</v>
      </c>
      <c r="I64" t="s">
        <v>578</v>
      </c>
      <c r="J64" t="s">
        <v>579</v>
      </c>
      <c r="L64" s="125">
        <v>44562</v>
      </c>
      <c r="M64" s="125">
        <v>44926</v>
      </c>
      <c r="N64" s="126">
        <f t="shared" si="4"/>
        <v>44926</v>
      </c>
      <c r="Q64" t="s">
        <v>566</v>
      </c>
      <c r="R64" t="s">
        <v>567</v>
      </c>
      <c r="S64" t="s">
        <v>568</v>
      </c>
      <c r="T64" t="s">
        <v>569</v>
      </c>
    </row>
    <row r="65" spans="1:20" ht="15.75" hidden="1" outlineLevel="1" x14ac:dyDescent="0.25">
      <c r="A65">
        <f t="shared" si="3"/>
        <v>16</v>
      </c>
      <c r="B65" t="s">
        <v>560</v>
      </c>
      <c r="C65" t="s">
        <v>561</v>
      </c>
      <c r="D65" s="47" t="s">
        <v>574</v>
      </c>
      <c r="E65" s="127" t="s">
        <v>592</v>
      </c>
      <c r="F65" t="s">
        <v>576</v>
      </c>
      <c r="G65" t="s">
        <v>565</v>
      </c>
      <c r="H65" t="s">
        <v>577</v>
      </c>
      <c r="I65" t="s">
        <v>578</v>
      </c>
      <c r="J65" t="s">
        <v>579</v>
      </c>
      <c r="L65" s="125">
        <v>44562</v>
      </c>
      <c r="M65" s="125">
        <v>44926</v>
      </c>
      <c r="N65" s="126">
        <f t="shared" si="4"/>
        <v>44926</v>
      </c>
      <c r="Q65" t="s">
        <v>566</v>
      </c>
      <c r="R65" t="s">
        <v>567</v>
      </c>
      <c r="S65" t="s">
        <v>568</v>
      </c>
      <c r="T65" t="s">
        <v>569</v>
      </c>
    </row>
    <row r="66" spans="1:20" ht="15.75" hidden="1" outlineLevel="1" x14ac:dyDescent="0.25">
      <c r="A66">
        <f t="shared" si="3"/>
        <v>17</v>
      </c>
      <c r="B66" t="s">
        <v>560</v>
      </c>
      <c r="C66" t="s">
        <v>561</v>
      </c>
      <c r="D66" s="47" t="s">
        <v>574</v>
      </c>
      <c r="E66" s="127" t="s">
        <v>593</v>
      </c>
      <c r="F66" t="s">
        <v>576</v>
      </c>
      <c r="G66" t="s">
        <v>565</v>
      </c>
      <c r="H66" t="s">
        <v>577</v>
      </c>
      <c r="I66" t="s">
        <v>578</v>
      </c>
      <c r="J66" t="s">
        <v>579</v>
      </c>
      <c r="L66" s="125">
        <v>44562</v>
      </c>
      <c r="M66" s="125">
        <v>44926</v>
      </c>
      <c r="N66" s="126">
        <f t="shared" si="4"/>
        <v>44926</v>
      </c>
      <c r="Q66" t="s">
        <v>566</v>
      </c>
      <c r="R66" t="s">
        <v>567</v>
      </c>
      <c r="S66" t="s">
        <v>568</v>
      </c>
      <c r="T66" t="s">
        <v>569</v>
      </c>
    </row>
    <row r="67" spans="1:20" ht="15.75" hidden="1" outlineLevel="1" x14ac:dyDescent="0.25">
      <c r="A67">
        <f t="shared" si="3"/>
        <v>18</v>
      </c>
      <c r="B67" t="s">
        <v>560</v>
      </c>
      <c r="C67" t="s">
        <v>561</v>
      </c>
      <c r="D67" s="47" t="s">
        <v>574</v>
      </c>
      <c r="E67" s="127" t="s">
        <v>594</v>
      </c>
      <c r="F67" t="s">
        <v>576</v>
      </c>
      <c r="G67" t="s">
        <v>565</v>
      </c>
      <c r="H67" t="s">
        <v>577</v>
      </c>
      <c r="I67" t="s">
        <v>578</v>
      </c>
      <c r="J67" t="s">
        <v>579</v>
      </c>
      <c r="L67" s="125">
        <v>44562</v>
      </c>
      <c r="M67" s="125">
        <v>44926</v>
      </c>
      <c r="N67" s="126">
        <f t="shared" si="4"/>
        <v>44926</v>
      </c>
      <c r="Q67" t="s">
        <v>566</v>
      </c>
      <c r="R67" t="s">
        <v>567</v>
      </c>
      <c r="S67" t="s">
        <v>568</v>
      </c>
      <c r="T67" t="s">
        <v>569</v>
      </c>
    </row>
    <row r="68" spans="1:20" ht="15.75" hidden="1" outlineLevel="1" x14ac:dyDescent="0.25">
      <c r="A68">
        <f t="shared" si="3"/>
        <v>19</v>
      </c>
      <c r="B68" t="s">
        <v>560</v>
      </c>
      <c r="C68" t="s">
        <v>561</v>
      </c>
      <c r="D68" s="47" t="s">
        <v>574</v>
      </c>
      <c r="E68" s="127" t="s">
        <v>595</v>
      </c>
      <c r="F68" t="s">
        <v>576</v>
      </c>
      <c r="G68" t="s">
        <v>565</v>
      </c>
      <c r="H68" t="s">
        <v>577</v>
      </c>
      <c r="I68" t="s">
        <v>578</v>
      </c>
      <c r="J68" t="s">
        <v>579</v>
      </c>
      <c r="L68" s="125">
        <v>44562</v>
      </c>
      <c r="M68" s="125">
        <v>44926</v>
      </c>
      <c r="N68" s="126">
        <f t="shared" si="4"/>
        <v>44926</v>
      </c>
      <c r="Q68" t="s">
        <v>566</v>
      </c>
      <c r="R68" t="s">
        <v>567</v>
      </c>
      <c r="S68" t="s">
        <v>568</v>
      </c>
      <c r="T68" t="s">
        <v>569</v>
      </c>
    </row>
    <row r="69" spans="1:20" ht="15.75" hidden="1" outlineLevel="1" x14ac:dyDescent="0.25">
      <c r="A69">
        <f t="shared" si="3"/>
        <v>20</v>
      </c>
      <c r="B69" t="s">
        <v>560</v>
      </c>
      <c r="C69" t="s">
        <v>561</v>
      </c>
      <c r="D69" s="47" t="s">
        <v>574</v>
      </c>
      <c r="E69" s="127" t="s">
        <v>596</v>
      </c>
      <c r="F69" t="s">
        <v>576</v>
      </c>
      <c r="G69" t="s">
        <v>565</v>
      </c>
      <c r="H69" t="s">
        <v>577</v>
      </c>
      <c r="I69" t="s">
        <v>578</v>
      </c>
      <c r="J69" t="s">
        <v>579</v>
      </c>
      <c r="L69" s="125">
        <v>44562</v>
      </c>
      <c r="M69" s="125">
        <v>44926</v>
      </c>
      <c r="N69" s="126">
        <f t="shared" si="4"/>
        <v>44926</v>
      </c>
      <c r="Q69" t="s">
        <v>566</v>
      </c>
      <c r="R69" t="s">
        <v>567</v>
      </c>
      <c r="S69" t="s">
        <v>568</v>
      </c>
      <c r="T69" t="s">
        <v>569</v>
      </c>
    </row>
    <row r="70" spans="1:20" ht="15.75" hidden="1" outlineLevel="1" x14ac:dyDescent="0.25">
      <c r="A70">
        <f t="shared" si="3"/>
        <v>21</v>
      </c>
      <c r="B70" t="s">
        <v>560</v>
      </c>
      <c r="C70" t="s">
        <v>561</v>
      </c>
      <c r="D70" s="47" t="s">
        <v>574</v>
      </c>
      <c r="E70" s="127" t="s">
        <v>597</v>
      </c>
      <c r="F70" t="s">
        <v>576</v>
      </c>
      <c r="G70" t="s">
        <v>565</v>
      </c>
      <c r="H70" t="s">
        <v>577</v>
      </c>
      <c r="I70" t="s">
        <v>578</v>
      </c>
      <c r="J70" t="s">
        <v>579</v>
      </c>
      <c r="L70" s="125">
        <v>44562</v>
      </c>
      <c r="M70" s="125">
        <v>44926</v>
      </c>
      <c r="N70" s="126">
        <f t="shared" si="4"/>
        <v>44926</v>
      </c>
      <c r="Q70" t="s">
        <v>566</v>
      </c>
      <c r="R70" t="s">
        <v>567</v>
      </c>
      <c r="S70" t="s">
        <v>568</v>
      </c>
      <c r="T70" t="s">
        <v>569</v>
      </c>
    </row>
    <row r="71" spans="1:20" ht="15.75" hidden="1" outlineLevel="1" x14ac:dyDescent="0.25">
      <c r="A71">
        <f t="shared" si="3"/>
        <v>22</v>
      </c>
      <c r="B71" t="s">
        <v>560</v>
      </c>
      <c r="C71" t="s">
        <v>561</v>
      </c>
      <c r="D71" s="47" t="s">
        <v>574</v>
      </c>
      <c r="E71" s="127" t="s">
        <v>598</v>
      </c>
      <c r="F71" t="s">
        <v>576</v>
      </c>
      <c r="G71" t="s">
        <v>565</v>
      </c>
      <c r="H71" t="s">
        <v>577</v>
      </c>
      <c r="I71" t="s">
        <v>578</v>
      </c>
      <c r="J71" t="s">
        <v>579</v>
      </c>
      <c r="L71" s="125">
        <v>44562</v>
      </c>
      <c r="M71" s="125">
        <v>44926</v>
      </c>
      <c r="N71" s="126">
        <f t="shared" si="4"/>
        <v>44926</v>
      </c>
      <c r="Q71" t="s">
        <v>566</v>
      </c>
      <c r="R71" t="s">
        <v>567</v>
      </c>
      <c r="S71" t="s">
        <v>568</v>
      </c>
      <c r="T71" t="s">
        <v>569</v>
      </c>
    </row>
    <row r="72" spans="1:20" ht="15.75" hidden="1" outlineLevel="1" x14ac:dyDescent="0.25">
      <c r="A72">
        <f t="shared" si="3"/>
        <v>23</v>
      </c>
      <c r="B72" t="s">
        <v>560</v>
      </c>
      <c r="C72" t="s">
        <v>561</v>
      </c>
      <c r="D72" s="47" t="s">
        <v>574</v>
      </c>
      <c r="E72" s="127" t="s">
        <v>599</v>
      </c>
      <c r="F72" t="s">
        <v>576</v>
      </c>
      <c r="G72" t="s">
        <v>565</v>
      </c>
      <c r="H72" t="s">
        <v>577</v>
      </c>
      <c r="I72" t="s">
        <v>578</v>
      </c>
      <c r="J72" t="s">
        <v>579</v>
      </c>
      <c r="L72" s="125">
        <v>44562</v>
      </c>
      <c r="M72" s="125">
        <v>44926</v>
      </c>
      <c r="N72" s="126">
        <f t="shared" si="4"/>
        <v>44926</v>
      </c>
      <c r="Q72" t="s">
        <v>566</v>
      </c>
      <c r="R72" t="s">
        <v>567</v>
      </c>
      <c r="S72" t="s">
        <v>568</v>
      </c>
      <c r="T72" t="s">
        <v>569</v>
      </c>
    </row>
    <row r="73" spans="1:20" ht="15.75" hidden="1" outlineLevel="1" x14ac:dyDescent="0.25">
      <c r="A73">
        <f t="shared" si="3"/>
        <v>24</v>
      </c>
      <c r="B73" t="s">
        <v>560</v>
      </c>
      <c r="C73" t="s">
        <v>561</v>
      </c>
      <c r="D73" s="47" t="s">
        <v>574</v>
      </c>
      <c r="E73" s="127" t="s">
        <v>600</v>
      </c>
      <c r="F73" t="s">
        <v>576</v>
      </c>
      <c r="G73" t="s">
        <v>565</v>
      </c>
      <c r="H73" t="s">
        <v>577</v>
      </c>
      <c r="I73" t="s">
        <v>578</v>
      </c>
      <c r="J73" t="s">
        <v>579</v>
      </c>
      <c r="L73" s="125">
        <v>44562</v>
      </c>
      <c r="M73" s="125">
        <v>44926</v>
      </c>
      <c r="N73" s="126">
        <f t="shared" si="4"/>
        <v>44926</v>
      </c>
      <c r="Q73" t="s">
        <v>566</v>
      </c>
      <c r="R73" t="s">
        <v>567</v>
      </c>
      <c r="S73" t="s">
        <v>568</v>
      </c>
      <c r="T73" t="s">
        <v>569</v>
      </c>
    </row>
    <row r="74" spans="1:20" ht="15.75" hidden="1" outlineLevel="1" x14ac:dyDescent="0.25">
      <c r="A74">
        <f t="shared" si="3"/>
        <v>25</v>
      </c>
      <c r="B74" t="s">
        <v>560</v>
      </c>
      <c r="C74" t="s">
        <v>561</v>
      </c>
      <c r="D74" s="47" t="s">
        <v>574</v>
      </c>
      <c r="E74" s="127" t="s">
        <v>601</v>
      </c>
      <c r="F74" t="s">
        <v>576</v>
      </c>
      <c r="G74" t="s">
        <v>565</v>
      </c>
      <c r="H74" t="s">
        <v>577</v>
      </c>
      <c r="I74" t="s">
        <v>578</v>
      </c>
      <c r="J74" t="s">
        <v>579</v>
      </c>
      <c r="L74" s="125">
        <v>44562</v>
      </c>
      <c r="M74" s="125">
        <v>44926</v>
      </c>
      <c r="N74" s="126">
        <f t="shared" si="4"/>
        <v>44926</v>
      </c>
      <c r="Q74" t="s">
        <v>566</v>
      </c>
      <c r="R74" t="s">
        <v>567</v>
      </c>
      <c r="S74" t="s">
        <v>568</v>
      </c>
      <c r="T74" t="s">
        <v>569</v>
      </c>
    </row>
    <row r="75" spans="1:20" ht="15.75" hidden="1" outlineLevel="1" x14ac:dyDescent="0.25">
      <c r="A75">
        <f t="shared" si="3"/>
        <v>26</v>
      </c>
      <c r="B75" t="s">
        <v>560</v>
      </c>
      <c r="C75" t="s">
        <v>561</v>
      </c>
      <c r="D75" s="47" t="s">
        <v>574</v>
      </c>
      <c r="E75" s="127" t="s">
        <v>602</v>
      </c>
      <c r="F75" t="s">
        <v>576</v>
      </c>
      <c r="G75" t="s">
        <v>565</v>
      </c>
      <c r="H75" t="s">
        <v>577</v>
      </c>
      <c r="I75" t="s">
        <v>578</v>
      </c>
      <c r="J75" t="s">
        <v>579</v>
      </c>
      <c r="L75" s="125">
        <v>44562</v>
      </c>
      <c r="M75" s="125">
        <v>44926</v>
      </c>
      <c r="N75" s="126">
        <f t="shared" si="4"/>
        <v>44926</v>
      </c>
      <c r="Q75" t="s">
        <v>566</v>
      </c>
      <c r="R75" t="s">
        <v>567</v>
      </c>
      <c r="S75" t="s">
        <v>568</v>
      </c>
      <c r="T75" t="s">
        <v>569</v>
      </c>
    </row>
    <row r="76" spans="1:20" ht="15.75" hidden="1" outlineLevel="1" x14ac:dyDescent="0.25">
      <c r="A76">
        <f t="shared" si="3"/>
        <v>27</v>
      </c>
      <c r="B76" t="s">
        <v>560</v>
      </c>
      <c r="C76" t="s">
        <v>561</v>
      </c>
      <c r="D76" s="47" t="s">
        <v>574</v>
      </c>
      <c r="E76" s="127" t="s">
        <v>603</v>
      </c>
      <c r="F76" t="s">
        <v>576</v>
      </c>
      <c r="G76" t="s">
        <v>565</v>
      </c>
      <c r="H76" t="s">
        <v>577</v>
      </c>
      <c r="I76" t="s">
        <v>578</v>
      </c>
      <c r="J76" t="s">
        <v>579</v>
      </c>
      <c r="L76" s="125">
        <v>44562</v>
      </c>
      <c r="M76" s="125">
        <v>44926</v>
      </c>
      <c r="N76" s="126">
        <f t="shared" si="4"/>
        <v>44926</v>
      </c>
      <c r="Q76" t="s">
        <v>566</v>
      </c>
      <c r="R76" t="s">
        <v>567</v>
      </c>
      <c r="S76" t="s">
        <v>568</v>
      </c>
      <c r="T76" t="s">
        <v>569</v>
      </c>
    </row>
    <row r="77" spans="1:20" ht="15.75" hidden="1" outlineLevel="1" x14ac:dyDescent="0.25">
      <c r="A77">
        <f t="shared" si="3"/>
        <v>28</v>
      </c>
      <c r="B77" t="s">
        <v>560</v>
      </c>
      <c r="C77" t="s">
        <v>561</v>
      </c>
      <c r="D77" s="47" t="s">
        <v>574</v>
      </c>
      <c r="E77" s="127" t="s">
        <v>604</v>
      </c>
      <c r="F77" t="s">
        <v>576</v>
      </c>
      <c r="G77" t="s">
        <v>565</v>
      </c>
      <c r="H77" t="s">
        <v>577</v>
      </c>
      <c r="I77" t="s">
        <v>578</v>
      </c>
      <c r="J77" t="s">
        <v>579</v>
      </c>
      <c r="L77" s="125">
        <v>44562</v>
      </c>
      <c r="M77" s="125">
        <v>44926</v>
      </c>
      <c r="N77" s="126">
        <f t="shared" si="4"/>
        <v>44926</v>
      </c>
      <c r="Q77" t="s">
        <v>566</v>
      </c>
      <c r="R77" t="s">
        <v>567</v>
      </c>
      <c r="S77" t="s">
        <v>568</v>
      </c>
      <c r="T77" t="s">
        <v>569</v>
      </c>
    </row>
    <row r="78" spans="1:20" ht="15.75" hidden="1" outlineLevel="1" x14ac:dyDescent="0.25">
      <c r="A78">
        <f t="shared" si="3"/>
        <v>29</v>
      </c>
      <c r="B78" t="s">
        <v>560</v>
      </c>
      <c r="C78" t="s">
        <v>561</v>
      </c>
      <c r="D78" s="47" t="s">
        <v>574</v>
      </c>
      <c r="E78" s="127" t="s">
        <v>605</v>
      </c>
      <c r="F78" t="s">
        <v>576</v>
      </c>
      <c r="G78" t="s">
        <v>565</v>
      </c>
      <c r="H78" t="s">
        <v>577</v>
      </c>
      <c r="I78" t="s">
        <v>578</v>
      </c>
      <c r="J78" t="s">
        <v>579</v>
      </c>
      <c r="L78" s="125">
        <v>44562</v>
      </c>
      <c r="M78" s="125">
        <v>44926</v>
      </c>
      <c r="N78" s="126">
        <f t="shared" si="4"/>
        <v>44926</v>
      </c>
      <c r="Q78" t="s">
        <v>566</v>
      </c>
      <c r="R78" t="s">
        <v>567</v>
      </c>
      <c r="S78" t="s">
        <v>568</v>
      </c>
      <c r="T78" t="s">
        <v>569</v>
      </c>
    </row>
    <row r="79" spans="1:20" ht="15.75" hidden="1" outlineLevel="1" x14ac:dyDescent="0.25">
      <c r="A79">
        <f t="shared" si="3"/>
        <v>30</v>
      </c>
      <c r="B79" t="s">
        <v>560</v>
      </c>
      <c r="C79" t="s">
        <v>561</v>
      </c>
      <c r="D79" s="47" t="s">
        <v>574</v>
      </c>
      <c r="E79" s="127" t="s">
        <v>606</v>
      </c>
      <c r="F79" t="s">
        <v>576</v>
      </c>
      <c r="G79" t="s">
        <v>565</v>
      </c>
      <c r="H79" t="s">
        <v>577</v>
      </c>
      <c r="I79" t="s">
        <v>578</v>
      </c>
      <c r="J79" t="s">
        <v>579</v>
      </c>
      <c r="L79" s="125">
        <v>44562</v>
      </c>
      <c r="M79" s="125">
        <v>44926</v>
      </c>
      <c r="N79" s="126">
        <f t="shared" si="4"/>
        <v>44926</v>
      </c>
      <c r="Q79" t="s">
        <v>566</v>
      </c>
      <c r="R79" t="s">
        <v>567</v>
      </c>
      <c r="S79" t="s">
        <v>568</v>
      </c>
      <c r="T79" t="s">
        <v>569</v>
      </c>
    </row>
    <row r="80" spans="1:20" ht="15.75" hidden="1" outlineLevel="1" x14ac:dyDescent="0.25">
      <c r="A80">
        <f t="shared" si="3"/>
        <v>31</v>
      </c>
      <c r="B80" t="s">
        <v>560</v>
      </c>
      <c r="C80" t="s">
        <v>561</v>
      </c>
      <c r="D80" s="47" t="s">
        <v>574</v>
      </c>
      <c r="E80" s="127" t="s">
        <v>607</v>
      </c>
      <c r="F80" t="s">
        <v>576</v>
      </c>
      <c r="G80" t="s">
        <v>565</v>
      </c>
      <c r="H80" t="s">
        <v>577</v>
      </c>
      <c r="I80" t="s">
        <v>578</v>
      </c>
      <c r="J80" t="s">
        <v>579</v>
      </c>
      <c r="L80" s="125">
        <v>44562</v>
      </c>
      <c r="M80" s="125">
        <v>44926</v>
      </c>
      <c r="N80" s="126">
        <f t="shared" si="4"/>
        <v>44926</v>
      </c>
      <c r="Q80" t="s">
        <v>566</v>
      </c>
      <c r="R80" t="s">
        <v>567</v>
      </c>
      <c r="S80" t="s">
        <v>568</v>
      </c>
      <c r="T80" t="s">
        <v>569</v>
      </c>
    </row>
    <row r="81" spans="1:20" ht="15.75" hidden="1" outlineLevel="1" x14ac:dyDescent="0.25">
      <c r="A81">
        <f t="shared" si="3"/>
        <v>32</v>
      </c>
      <c r="B81" t="s">
        <v>560</v>
      </c>
      <c r="C81" t="s">
        <v>561</v>
      </c>
      <c r="D81" s="47" t="s">
        <v>574</v>
      </c>
      <c r="E81" s="127" t="s">
        <v>608</v>
      </c>
      <c r="F81" t="s">
        <v>576</v>
      </c>
      <c r="G81" t="s">
        <v>565</v>
      </c>
      <c r="H81" t="s">
        <v>577</v>
      </c>
      <c r="I81" t="s">
        <v>578</v>
      </c>
      <c r="J81" t="s">
        <v>579</v>
      </c>
      <c r="L81" s="125">
        <v>44562</v>
      </c>
      <c r="M81" s="125">
        <v>44926</v>
      </c>
      <c r="N81" s="126">
        <f t="shared" si="4"/>
        <v>44926</v>
      </c>
      <c r="Q81" t="s">
        <v>566</v>
      </c>
      <c r="R81" t="s">
        <v>567</v>
      </c>
      <c r="S81" t="s">
        <v>568</v>
      </c>
      <c r="T81" t="s">
        <v>569</v>
      </c>
    </row>
    <row r="82" spans="1:20" ht="15.75" hidden="1" outlineLevel="1" x14ac:dyDescent="0.25">
      <c r="A82">
        <f t="shared" si="3"/>
        <v>33</v>
      </c>
      <c r="B82" t="s">
        <v>560</v>
      </c>
      <c r="C82" t="s">
        <v>561</v>
      </c>
      <c r="D82" s="47" t="s">
        <v>574</v>
      </c>
      <c r="E82" s="127" t="s">
        <v>609</v>
      </c>
      <c r="F82" t="s">
        <v>576</v>
      </c>
      <c r="G82" t="s">
        <v>565</v>
      </c>
      <c r="H82" t="s">
        <v>577</v>
      </c>
      <c r="I82" t="s">
        <v>578</v>
      </c>
      <c r="J82" t="s">
        <v>579</v>
      </c>
      <c r="L82" s="125">
        <v>44562</v>
      </c>
      <c r="M82" s="125">
        <v>44926</v>
      </c>
      <c r="N82" s="126">
        <f t="shared" si="4"/>
        <v>44926</v>
      </c>
      <c r="Q82" t="s">
        <v>566</v>
      </c>
      <c r="R82" t="s">
        <v>567</v>
      </c>
      <c r="S82" t="s">
        <v>568</v>
      </c>
      <c r="T82" t="s">
        <v>569</v>
      </c>
    </row>
    <row r="83" spans="1:20" ht="15.75" hidden="1" outlineLevel="1" x14ac:dyDescent="0.25">
      <c r="A83">
        <f t="shared" si="3"/>
        <v>34</v>
      </c>
      <c r="B83" t="s">
        <v>560</v>
      </c>
      <c r="C83" t="s">
        <v>561</v>
      </c>
      <c r="D83" s="47" t="s">
        <v>574</v>
      </c>
      <c r="E83" s="127" t="s">
        <v>610</v>
      </c>
      <c r="F83" t="s">
        <v>576</v>
      </c>
      <c r="G83" t="s">
        <v>565</v>
      </c>
      <c r="H83" t="s">
        <v>577</v>
      </c>
      <c r="I83" t="s">
        <v>578</v>
      </c>
      <c r="J83" t="s">
        <v>579</v>
      </c>
      <c r="L83" s="125">
        <v>44562</v>
      </c>
      <c r="M83" s="125">
        <v>44926</v>
      </c>
      <c r="N83" s="126">
        <f t="shared" si="4"/>
        <v>44926</v>
      </c>
      <c r="Q83" t="s">
        <v>566</v>
      </c>
      <c r="R83" t="s">
        <v>567</v>
      </c>
      <c r="S83" t="s">
        <v>568</v>
      </c>
      <c r="T83" t="s">
        <v>569</v>
      </c>
    </row>
    <row r="84" spans="1:20" ht="15.75" hidden="1" outlineLevel="1" x14ac:dyDescent="0.25">
      <c r="A84">
        <f t="shared" si="3"/>
        <v>35</v>
      </c>
      <c r="B84" t="s">
        <v>560</v>
      </c>
      <c r="C84" t="s">
        <v>561</v>
      </c>
      <c r="D84" s="47" t="s">
        <v>574</v>
      </c>
      <c r="E84" s="127" t="s">
        <v>611</v>
      </c>
      <c r="F84" t="s">
        <v>576</v>
      </c>
      <c r="G84" t="s">
        <v>565</v>
      </c>
      <c r="H84" t="s">
        <v>577</v>
      </c>
      <c r="I84" t="s">
        <v>578</v>
      </c>
      <c r="J84" t="s">
        <v>579</v>
      </c>
      <c r="L84" s="125">
        <v>44562</v>
      </c>
      <c r="M84" s="125">
        <v>44926</v>
      </c>
      <c r="N84" s="126">
        <f t="shared" si="4"/>
        <v>44926</v>
      </c>
      <c r="Q84" t="s">
        <v>566</v>
      </c>
      <c r="R84" t="s">
        <v>567</v>
      </c>
      <c r="S84" t="s">
        <v>568</v>
      </c>
      <c r="T84" t="s">
        <v>569</v>
      </c>
    </row>
    <row r="85" spans="1:20" ht="15.75" hidden="1" outlineLevel="1" x14ac:dyDescent="0.25">
      <c r="A85">
        <f t="shared" si="3"/>
        <v>36</v>
      </c>
      <c r="B85" t="s">
        <v>560</v>
      </c>
      <c r="C85" t="s">
        <v>561</v>
      </c>
      <c r="D85" s="47" t="s">
        <v>574</v>
      </c>
      <c r="E85" s="127" t="s">
        <v>612</v>
      </c>
      <c r="F85" t="s">
        <v>576</v>
      </c>
      <c r="G85" t="s">
        <v>565</v>
      </c>
      <c r="H85" t="s">
        <v>577</v>
      </c>
      <c r="I85" t="s">
        <v>578</v>
      </c>
      <c r="J85" t="s">
        <v>579</v>
      </c>
      <c r="L85" s="125">
        <v>44562</v>
      </c>
      <c r="M85" s="125">
        <v>44926</v>
      </c>
      <c r="N85" s="126">
        <f t="shared" si="4"/>
        <v>44926</v>
      </c>
      <c r="Q85" t="s">
        <v>566</v>
      </c>
      <c r="R85" t="s">
        <v>567</v>
      </c>
      <c r="S85" t="s">
        <v>568</v>
      </c>
      <c r="T85" t="s">
        <v>569</v>
      </c>
    </row>
    <row r="86" spans="1:20" ht="15.75" hidden="1" outlineLevel="1" x14ac:dyDescent="0.25">
      <c r="A86">
        <f t="shared" si="3"/>
        <v>37</v>
      </c>
      <c r="B86" t="s">
        <v>560</v>
      </c>
      <c r="C86" t="s">
        <v>561</v>
      </c>
      <c r="D86" s="47" t="s">
        <v>574</v>
      </c>
      <c r="E86" s="127" t="s">
        <v>613</v>
      </c>
      <c r="F86" t="s">
        <v>576</v>
      </c>
      <c r="G86" t="s">
        <v>565</v>
      </c>
      <c r="H86" t="s">
        <v>577</v>
      </c>
      <c r="I86" t="s">
        <v>578</v>
      </c>
      <c r="J86" t="s">
        <v>579</v>
      </c>
      <c r="L86" s="125">
        <v>44562</v>
      </c>
      <c r="M86" s="125">
        <v>44926</v>
      </c>
      <c r="N86" s="126">
        <f t="shared" si="4"/>
        <v>44926</v>
      </c>
      <c r="Q86" t="s">
        <v>566</v>
      </c>
      <c r="R86" t="s">
        <v>567</v>
      </c>
      <c r="S86" t="s">
        <v>568</v>
      </c>
      <c r="T86" t="s">
        <v>569</v>
      </c>
    </row>
    <row r="87" spans="1:20" ht="15.75" hidden="1" outlineLevel="1" x14ac:dyDescent="0.25">
      <c r="A87">
        <f t="shared" si="3"/>
        <v>38</v>
      </c>
      <c r="B87" t="s">
        <v>560</v>
      </c>
      <c r="C87" t="s">
        <v>561</v>
      </c>
      <c r="D87" s="47" t="s">
        <v>574</v>
      </c>
      <c r="E87" s="127" t="s">
        <v>614</v>
      </c>
      <c r="F87" t="s">
        <v>576</v>
      </c>
      <c r="G87" t="s">
        <v>565</v>
      </c>
      <c r="H87" t="s">
        <v>577</v>
      </c>
      <c r="I87" t="s">
        <v>578</v>
      </c>
      <c r="J87" t="s">
        <v>579</v>
      </c>
      <c r="L87" s="125">
        <v>44562</v>
      </c>
      <c r="M87" s="125">
        <v>44926</v>
      </c>
      <c r="N87" s="126">
        <f t="shared" si="4"/>
        <v>44926</v>
      </c>
      <c r="Q87" t="s">
        <v>566</v>
      </c>
      <c r="R87" t="s">
        <v>567</v>
      </c>
      <c r="S87" t="s">
        <v>568</v>
      </c>
      <c r="T87" t="s">
        <v>569</v>
      </c>
    </row>
    <row r="88" spans="1:20" ht="15.75" hidden="1" outlineLevel="1" x14ac:dyDescent="0.25">
      <c r="A88">
        <f t="shared" si="3"/>
        <v>39</v>
      </c>
      <c r="B88" t="s">
        <v>560</v>
      </c>
      <c r="C88" t="s">
        <v>561</v>
      </c>
      <c r="D88" s="47" t="s">
        <v>574</v>
      </c>
      <c r="E88" s="127" t="s">
        <v>615</v>
      </c>
      <c r="F88" t="s">
        <v>576</v>
      </c>
      <c r="G88" t="s">
        <v>565</v>
      </c>
      <c r="H88" t="s">
        <v>577</v>
      </c>
      <c r="I88" t="s">
        <v>578</v>
      </c>
      <c r="J88" t="s">
        <v>579</v>
      </c>
      <c r="L88" s="125">
        <v>44562</v>
      </c>
      <c r="M88" s="125">
        <v>44926</v>
      </c>
      <c r="N88" s="126">
        <f t="shared" si="4"/>
        <v>44926</v>
      </c>
      <c r="Q88" t="s">
        <v>566</v>
      </c>
      <c r="R88" t="s">
        <v>567</v>
      </c>
      <c r="S88" t="s">
        <v>568</v>
      </c>
      <c r="T88" t="s">
        <v>569</v>
      </c>
    </row>
    <row r="89" spans="1:20" ht="15.75" hidden="1" outlineLevel="1" x14ac:dyDescent="0.25">
      <c r="A89">
        <f t="shared" si="3"/>
        <v>40</v>
      </c>
      <c r="B89" t="s">
        <v>560</v>
      </c>
      <c r="C89" t="s">
        <v>561</v>
      </c>
      <c r="D89" s="47" t="s">
        <v>574</v>
      </c>
      <c r="E89" s="127" t="s">
        <v>616</v>
      </c>
      <c r="F89" t="s">
        <v>576</v>
      </c>
      <c r="G89" t="s">
        <v>565</v>
      </c>
      <c r="H89" t="s">
        <v>577</v>
      </c>
      <c r="I89" t="s">
        <v>578</v>
      </c>
      <c r="J89" t="s">
        <v>579</v>
      </c>
      <c r="L89" s="125">
        <v>44562</v>
      </c>
      <c r="M89" s="125">
        <v>44926</v>
      </c>
      <c r="N89" s="126">
        <f t="shared" si="4"/>
        <v>44926</v>
      </c>
      <c r="Q89" t="s">
        <v>566</v>
      </c>
      <c r="R89" t="s">
        <v>567</v>
      </c>
      <c r="S89" t="s">
        <v>568</v>
      </c>
      <c r="T89" t="s">
        <v>569</v>
      </c>
    </row>
    <row r="90" spans="1:20" ht="15.75" hidden="1" outlineLevel="1" x14ac:dyDescent="0.25">
      <c r="A90">
        <f t="shared" si="3"/>
        <v>41</v>
      </c>
      <c r="B90" t="s">
        <v>560</v>
      </c>
      <c r="C90" t="s">
        <v>561</v>
      </c>
      <c r="D90" s="47" t="s">
        <v>574</v>
      </c>
      <c r="E90" s="127" t="s">
        <v>617</v>
      </c>
      <c r="F90" t="s">
        <v>576</v>
      </c>
      <c r="G90" t="s">
        <v>565</v>
      </c>
      <c r="H90" t="s">
        <v>577</v>
      </c>
      <c r="I90" t="s">
        <v>578</v>
      </c>
      <c r="J90" t="s">
        <v>579</v>
      </c>
      <c r="L90" s="125">
        <v>44562</v>
      </c>
      <c r="M90" s="125">
        <v>44926</v>
      </c>
      <c r="N90" s="126">
        <f t="shared" si="4"/>
        <v>44926</v>
      </c>
      <c r="Q90" t="s">
        <v>566</v>
      </c>
      <c r="R90" t="s">
        <v>567</v>
      </c>
      <c r="S90" t="s">
        <v>568</v>
      </c>
      <c r="T90" t="s">
        <v>569</v>
      </c>
    </row>
    <row r="91" spans="1:20" ht="15.75" hidden="1" outlineLevel="1" x14ac:dyDescent="0.25">
      <c r="A91">
        <f t="shared" si="3"/>
        <v>42</v>
      </c>
      <c r="B91" t="s">
        <v>560</v>
      </c>
      <c r="C91" t="s">
        <v>561</v>
      </c>
      <c r="D91" s="47" t="s">
        <v>574</v>
      </c>
      <c r="E91" s="127" t="s">
        <v>618</v>
      </c>
      <c r="F91" t="s">
        <v>576</v>
      </c>
      <c r="G91" t="s">
        <v>565</v>
      </c>
      <c r="H91" t="s">
        <v>577</v>
      </c>
      <c r="I91" t="s">
        <v>578</v>
      </c>
      <c r="J91" t="s">
        <v>579</v>
      </c>
      <c r="L91" s="125">
        <v>44562</v>
      </c>
      <c r="M91" s="125">
        <v>44926</v>
      </c>
      <c r="N91" s="126">
        <f t="shared" si="4"/>
        <v>44926</v>
      </c>
      <c r="Q91" t="s">
        <v>566</v>
      </c>
      <c r="R91" t="s">
        <v>567</v>
      </c>
      <c r="S91" t="s">
        <v>568</v>
      </c>
      <c r="T91" t="s">
        <v>569</v>
      </c>
    </row>
    <row r="92" spans="1:20" ht="15.75" hidden="1" outlineLevel="1" x14ac:dyDescent="0.25">
      <c r="A92">
        <f t="shared" si="3"/>
        <v>43</v>
      </c>
      <c r="B92" t="s">
        <v>560</v>
      </c>
      <c r="C92" t="s">
        <v>561</v>
      </c>
      <c r="D92" s="47" t="s">
        <v>574</v>
      </c>
      <c r="E92" s="127" t="s">
        <v>619</v>
      </c>
      <c r="F92" t="s">
        <v>576</v>
      </c>
      <c r="G92" t="s">
        <v>565</v>
      </c>
      <c r="H92" t="s">
        <v>577</v>
      </c>
      <c r="I92" t="s">
        <v>578</v>
      </c>
      <c r="J92" t="s">
        <v>579</v>
      </c>
      <c r="L92" s="125">
        <v>44562</v>
      </c>
      <c r="M92" s="125">
        <v>44926</v>
      </c>
      <c r="N92" s="126">
        <f t="shared" si="4"/>
        <v>44926</v>
      </c>
      <c r="Q92" t="s">
        <v>566</v>
      </c>
      <c r="R92" t="s">
        <v>567</v>
      </c>
      <c r="S92" t="s">
        <v>568</v>
      </c>
      <c r="T92" t="s">
        <v>569</v>
      </c>
    </row>
    <row r="93" spans="1:20" ht="15.75" hidden="1" outlineLevel="1" x14ac:dyDescent="0.25">
      <c r="A93">
        <f t="shared" si="3"/>
        <v>44</v>
      </c>
      <c r="B93" t="s">
        <v>560</v>
      </c>
      <c r="C93" t="s">
        <v>561</v>
      </c>
      <c r="D93" s="47" t="s">
        <v>574</v>
      </c>
      <c r="E93" s="127" t="s">
        <v>620</v>
      </c>
      <c r="F93" t="s">
        <v>576</v>
      </c>
      <c r="G93" t="s">
        <v>565</v>
      </c>
      <c r="H93" t="s">
        <v>577</v>
      </c>
      <c r="I93" t="s">
        <v>578</v>
      </c>
      <c r="J93" t="s">
        <v>579</v>
      </c>
      <c r="L93" s="125">
        <v>44562</v>
      </c>
      <c r="M93" s="125">
        <v>44926</v>
      </c>
      <c r="N93" s="126">
        <f t="shared" si="4"/>
        <v>44926</v>
      </c>
      <c r="Q93" t="s">
        <v>566</v>
      </c>
      <c r="R93" t="s">
        <v>567</v>
      </c>
      <c r="S93" t="s">
        <v>568</v>
      </c>
      <c r="T93" t="s">
        <v>569</v>
      </c>
    </row>
    <row r="94" spans="1:20" ht="15.75" hidden="1" outlineLevel="1" x14ac:dyDescent="0.25">
      <c r="A94">
        <f t="shared" si="3"/>
        <v>45</v>
      </c>
      <c r="B94" t="s">
        <v>560</v>
      </c>
      <c r="C94" t="s">
        <v>561</v>
      </c>
      <c r="D94" s="47" t="s">
        <v>574</v>
      </c>
      <c r="E94" s="127" t="s">
        <v>621</v>
      </c>
      <c r="F94" t="s">
        <v>576</v>
      </c>
      <c r="G94" t="s">
        <v>565</v>
      </c>
      <c r="H94" t="s">
        <v>577</v>
      </c>
      <c r="I94" t="s">
        <v>578</v>
      </c>
      <c r="J94" t="s">
        <v>579</v>
      </c>
      <c r="L94" s="125">
        <v>44562</v>
      </c>
      <c r="M94" s="125">
        <v>44926</v>
      </c>
      <c r="N94" s="126">
        <f t="shared" si="4"/>
        <v>44926</v>
      </c>
      <c r="Q94" t="s">
        <v>566</v>
      </c>
      <c r="R94" t="s">
        <v>567</v>
      </c>
      <c r="S94" t="s">
        <v>568</v>
      </c>
      <c r="T94" t="s">
        <v>569</v>
      </c>
    </row>
    <row r="95" spans="1:20" ht="15.75" hidden="1" outlineLevel="1" x14ac:dyDescent="0.25">
      <c r="A95">
        <f t="shared" si="3"/>
        <v>46</v>
      </c>
      <c r="B95" t="s">
        <v>560</v>
      </c>
      <c r="C95" t="s">
        <v>561</v>
      </c>
      <c r="D95" s="47" t="s">
        <v>574</v>
      </c>
      <c r="E95" s="127" t="s">
        <v>622</v>
      </c>
      <c r="F95" t="s">
        <v>576</v>
      </c>
      <c r="G95" t="s">
        <v>565</v>
      </c>
      <c r="H95" t="s">
        <v>577</v>
      </c>
      <c r="I95" t="s">
        <v>578</v>
      </c>
      <c r="J95" t="s">
        <v>579</v>
      </c>
      <c r="L95" s="125">
        <v>44562</v>
      </c>
      <c r="M95" s="125">
        <v>44926</v>
      </c>
      <c r="N95" s="126">
        <f t="shared" si="4"/>
        <v>44926</v>
      </c>
      <c r="Q95" t="s">
        <v>566</v>
      </c>
      <c r="R95" t="s">
        <v>567</v>
      </c>
      <c r="S95" t="s">
        <v>568</v>
      </c>
      <c r="T95" t="s">
        <v>569</v>
      </c>
    </row>
    <row r="96" spans="1:20" ht="15.75" hidden="1" outlineLevel="1" x14ac:dyDescent="0.25">
      <c r="A96">
        <f t="shared" si="3"/>
        <v>47</v>
      </c>
      <c r="B96" t="s">
        <v>560</v>
      </c>
      <c r="C96" t="s">
        <v>561</v>
      </c>
      <c r="D96" s="47" t="s">
        <v>574</v>
      </c>
      <c r="E96" s="127" t="s">
        <v>623</v>
      </c>
      <c r="F96" t="s">
        <v>576</v>
      </c>
      <c r="G96" t="s">
        <v>565</v>
      </c>
      <c r="H96" t="s">
        <v>577</v>
      </c>
      <c r="I96" t="s">
        <v>578</v>
      </c>
      <c r="J96" t="s">
        <v>579</v>
      </c>
      <c r="L96" s="125">
        <v>44562</v>
      </c>
      <c r="M96" s="125">
        <v>44926</v>
      </c>
      <c r="N96" s="126">
        <f t="shared" si="4"/>
        <v>44926</v>
      </c>
      <c r="Q96" t="s">
        <v>566</v>
      </c>
      <c r="R96" t="s">
        <v>567</v>
      </c>
      <c r="S96" t="s">
        <v>568</v>
      </c>
      <c r="T96" t="s">
        <v>569</v>
      </c>
    </row>
    <row r="97" spans="1:20" ht="15.75" hidden="1" outlineLevel="1" x14ac:dyDescent="0.25">
      <c r="A97">
        <f t="shared" si="3"/>
        <v>48</v>
      </c>
      <c r="B97" t="s">
        <v>560</v>
      </c>
      <c r="C97" t="s">
        <v>561</v>
      </c>
      <c r="D97" s="47" t="s">
        <v>574</v>
      </c>
      <c r="E97" s="127" t="s">
        <v>624</v>
      </c>
      <c r="F97" t="s">
        <v>576</v>
      </c>
      <c r="G97" t="s">
        <v>565</v>
      </c>
      <c r="H97" t="s">
        <v>577</v>
      </c>
      <c r="I97" t="s">
        <v>578</v>
      </c>
      <c r="J97" t="s">
        <v>579</v>
      </c>
      <c r="L97" s="125">
        <v>44562</v>
      </c>
      <c r="M97" s="125">
        <v>44926</v>
      </c>
      <c r="N97" s="126">
        <f t="shared" si="4"/>
        <v>44926</v>
      </c>
      <c r="Q97" t="s">
        <v>566</v>
      </c>
      <c r="R97" t="s">
        <v>567</v>
      </c>
      <c r="S97" t="s">
        <v>568</v>
      </c>
      <c r="T97" t="s">
        <v>569</v>
      </c>
    </row>
    <row r="98" spans="1:20" ht="15.75" hidden="1" outlineLevel="1" x14ac:dyDescent="0.25">
      <c r="A98">
        <f t="shared" si="3"/>
        <v>49</v>
      </c>
      <c r="B98" t="s">
        <v>560</v>
      </c>
      <c r="C98" t="s">
        <v>561</v>
      </c>
      <c r="D98" s="47" t="s">
        <v>574</v>
      </c>
      <c r="E98" s="127" t="s">
        <v>625</v>
      </c>
      <c r="F98" t="s">
        <v>576</v>
      </c>
      <c r="G98" t="s">
        <v>565</v>
      </c>
      <c r="H98" t="s">
        <v>577</v>
      </c>
      <c r="I98" t="s">
        <v>578</v>
      </c>
      <c r="J98" t="s">
        <v>579</v>
      </c>
      <c r="L98" s="125">
        <v>44562</v>
      </c>
      <c r="M98" s="125">
        <v>44926</v>
      </c>
      <c r="N98" s="126">
        <f t="shared" si="4"/>
        <v>44926</v>
      </c>
      <c r="Q98" t="s">
        <v>566</v>
      </c>
      <c r="R98" t="s">
        <v>567</v>
      </c>
      <c r="S98" t="s">
        <v>568</v>
      </c>
      <c r="T98" t="s">
        <v>569</v>
      </c>
    </row>
    <row r="99" spans="1:20" ht="15.75" hidden="1" outlineLevel="1" x14ac:dyDescent="0.25">
      <c r="A99">
        <f t="shared" si="3"/>
        <v>50</v>
      </c>
      <c r="B99" t="s">
        <v>560</v>
      </c>
      <c r="C99" t="s">
        <v>561</v>
      </c>
      <c r="D99" s="47" t="s">
        <v>574</v>
      </c>
      <c r="E99" s="127" t="s">
        <v>626</v>
      </c>
      <c r="F99" t="s">
        <v>576</v>
      </c>
      <c r="G99" t="s">
        <v>565</v>
      </c>
      <c r="H99" t="s">
        <v>577</v>
      </c>
      <c r="I99" t="s">
        <v>578</v>
      </c>
      <c r="J99" t="s">
        <v>579</v>
      </c>
      <c r="L99" s="125">
        <v>44562</v>
      </c>
      <c r="M99" s="125">
        <v>44926</v>
      </c>
      <c r="N99" s="126">
        <f t="shared" si="4"/>
        <v>44926</v>
      </c>
      <c r="Q99" t="s">
        <v>566</v>
      </c>
      <c r="R99" t="s">
        <v>567</v>
      </c>
      <c r="S99" t="s">
        <v>568</v>
      </c>
      <c r="T99" t="s">
        <v>569</v>
      </c>
    </row>
    <row r="100" spans="1:20" ht="15.75" hidden="1" outlineLevel="1" x14ac:dyDescent="0.25">
      <c r="A100">
        <f t="shared" si="3"/>
        <v>51</v>
      </c>
      <c r="B100" t="s">
        <v>560</v>
      </c>
      <c r="C100" t="s">
        <v>561</v>
      </c>
      <c r="D100" s="47" t="s">
        <v>574</v>
      </c>
      <c r="E100" s="127" t="s">
        <v>627</v>
      </c>
      <c r="F100" t="s">
        <v>576</v>
      </c>
      <c r="G100" t="s">
        <v>565</v>
      </c>
      <c r="H100" t="s">
        <v>577</v>
      </c>
      <c r="I100" t="s">
        <v>578</v>
      </c>
      <c r="J100" t="s">
        <v>579</v>
      </c>
      <c r="L100" s="125">
        <v>44562</v>
      </c>
      <c r="M100" s="125">
        <v>44926</v>
      </c>
      <c r="N100" s="126">
        <f t="shared" si="4"/>
        <v>44926</v>
      </c>
      <c r="Q100" t="s">
        <v>566</v>
      </c>
      <c r="R100" t="s">
        <v>567</v>
      </c>
      <c r="S100" t="s">
        <v>568</v>
      </c>
      <c r="T100" t="s">
        <v>569</v>
      </c>
    </row>
    <row r="101" spans="1:20" ht="15.75" hidden="1" outlineLevel="1" x14ac:dyDescent="0.25">
      <c r="A101">
        <f t="shared" si="3"/>
        <v>52</v>
      </c>
      <c r="B101" t="s">
        <v>560</v>
      </c>
      <c r="C101" t="s">
        <v>561</v>
      </c>
      <c r="D101" s="47" t="s">
        <v>574</v>
      </c>
      <c r="E101" s="127" t="s">
        <v>628</v>
      </c>
      <c r="F101" t="s">
        <v>576</v>
      </c>
      <c r="G101" t="s">
        <v>565</v>
      </c>
      <c r="H101" t="s">
        <v>577</v>
      </c>
      <c r="I101" t="s">
        <v>578</v>
      </c>
      <c r="J101" t="s">
        <v>579</v>
      </c>
      <c r="L101" s="125">
        <v>44562</v>
      </c>
      <c r="M101" s="125">
        <v>44926</v>
      </c>
      <c r="N101" s="126">
        <f t="shared" si="4"/>
        <v>44926</v>
      </c>
      <c r="Q101" t="s">
        <v>566</v>
      </c>
      <c r="R101" t="s">
        <v>567</v>
      </c>
      <c r="S101" t="s">
        <v>568</v>
      </c>
      <c r="T101" t="s">
        <v>569</v>
      </c>
    </row>
    <row r="102" spans="1:20" ht="15.75" hidden="1" outlineLevel="1" x14ac:dyDescent="0.25">
      <c r="A102">
        <f t="shared" si="3"/>
        <v>53</v>
      </c>
      <c r="B102" t="s">
        <v>560</v>
      </c>
      <c r="C102" t="s">
        <v>561</v>
      </c>
      <c r="D102" s="47" t="s">
        <v>574</v>
      </c>
      <c r="E102" s="127" t="s">
        <v>629</v>
      </c>
      <c r="F102" t="s">
        <v>576</v>
      </c>
      <c r="G102" t="s">
        <v>565</v>
      </c>
      <c r="H102" t="s">
        <v>577</v>
      </c>
      <c r="I102" t="s">
        <v>578</v>
      </c>
      <c r="J102" t="s">
        <v>579</v>
      </c>
      <c r="L102" s="125">
        <v>44562</v>
      </c>
      <c r="M102" s="125">
        <v>44926</v>
      </c>
      <c r="N102" s="126">
        <f t="shared" si="4"/>
        <v>44926</v>
      </c>
      <c r="Q102" t="s">
        <v>566</v>
      </c>
      <c r="R102" t="s">
        <v>567</v>
      </c>
      <c r="S102" t="s">
        <v>568</v>
      </c>
      <c r="T102" t="s">
        <v>569</v>
      </c>
    </row>
    <row r="103" spans="1:20" ht="15.75" hidden="1" outlineLevel="1" x14ac:dyDescent="0.25">
      <c r="A103">
        <f t="shared" si="3"/>
        <v>54</v>
      </c>
      <c r="B103" t="s">
        <v>560</v>
      </c>
      <c r="C103" t="s">
        <v>561</v>
      </c>
      <c r="D103" s="47" t="s">
        <v>574</v>
      </c>
      <c r="E103" s="127" t="s">
        <v>630</v>
      </c>
      <c r="F103" t="s">
        <v>576</v>
      </c>
      <c r="G103" t="s">
        <v>565</v>
      </c>
      <c r="H103" t="s">
        <v>577</v>
      </c>
      <c r="I103" t="s">
        <v>578</v>
      </c>
      <c r="J103" t="s">
        <v>579</v>
      </c>
      <c r="L103" s="125">
        <v>44562</v>
      </c>
      <c r="M103" s="125">
        <v>44926</v>
      </c>
      <c r="N103" s="126">
        <f t="shared" si="4"/>
        <v>44926</v>
      </c>
      <c r="Q103" t="s">
        <v>566</v>
      </c>
      <c r="R103" t="s">
        <v>567</v>
      </c>
      <c r="S103" t="s">
        <v>568</v>
      </c>
      <c r="T103" t="s">
        <v>569</v>
      </c>
    </row>
    <row r="104" spans="1:20" ht="15.75" hidden="1" outlineLevel="1" x14ac:dyDescent="0.25">
      <c r="A104">
        <f t="shared" si="3"/>
        <v>55</v>
      </c>
      <c r="B104" t="s">
        <v>560</v>
      </c>
      <c r="C104" t="s">
        <v>561</v>
      </c>
      <c r="D104" s="47" t="s">
        <v>574</v>
      </c>
      <c r="E104" s="127" t="s">
        <v>631</v>
      </c>
      <c r="F104" t="s">
        <v>576</v>
      </c>
      <c r="G104" t="s">
        <v>565</v>
      </c>
      <c r="H104" t="s">
        <v>577</v>
      </c>
      <c r="I104" t="s">
        <v>578</v>
      </c>
      <c r="J104" t="s">
        <v>579</v>
      </c>
      <c r="L104" s="125">
        <v>44562</v>
      </c>
      <c r="M104" s="125">
        <v>44926</v>
      </c>
      <c r="N104" s="126">
        <f t="shared" si="4"/>
        <v>44926</v>
      </c>
      <c r="Q104" t="s">
        <v>566</v>
      </c>
      <c r="R104" t="s">
        <v>567</v>
      </c>
      <c r="S104" t="s">
        <v>568</v>
      </c>
      <c r="T104" t="s">
        <v>569</v>
      </c>
    </row>
    <row r="105" spans="1:20" ht="15.75" hidden="1" outlineLevel="1" x14ac:dyDescent="0.25">
      <c r="A105">
        <f t="shared" si="3"/>
        <v>56</v>
      </c>
      <c r="B105" t="s">
        <v>560</v>
      </c>
      <c r="C105" t="s">
        <v>561</v>
      </c>
      <c r="D105" s="47" t="s">
        <v>574</v>
      </c>
      <c r="E105" s="127" t="s">
        <v>632</v>
      </c>
      <c r="F105" t="s">
        <v>576</v>
      </c>
      <c r="G105" t="s">
        <v>565</v>
      </c>
      <c r="H105" t="s">
        <v>577</v>
      </c>
      <c r="I105" t="s">
        <v>578</v>
      </c>
      <c r="J105" t="s">
        <v>579</v>
      </c>
      <c r="L105" s="125">
        <v>44562</v>
      </c>
      <c r="M105" s="125">
        <v>44926</v>
      </c>
      <c r="N105" s="126">
        <f t="shared" si="4"/>
        <v>44926</v>
      </c>
      <c r="Q105" t="s">
        <v>566</v>
      </c>
      <c r="R105" t="s">
        <v>567</v>
      </c>
      <c r="S105" t="s">
        <v>568</v>
      </c>
      <c r="T105" t="s">
        <v>569</v>
      </c>
    </row>
    <row r="106" spans="1:20" ht="15.75" hidden="1" outlineLevel="1" x14ac:dyDescent="0.25">
      <c r="A106">
        <f t="shared" si="3"/>
        <v>57</v>
      </c>
      <c r="B106" t="s">
        <v>560</v>
      </c>
      <c r="C106" t="s">
        <v>561</v>
      </c>
      <c r="D106" s="47" t="s">
        <v>574</v>
      </c>
      <c r="E106" s="127" t="s">
        <v>633</v>
      </c>
      <c r="F106" t="s">
        <v>576</v>
      </c>
      <c r="G106" t="s">
        <v>565</v>
      </c>
      <c r="H106" t="s">
        <v>577</v>
      </c>
      <c r="I106" t="s">
        <v>578</v>
      </c>
      <c r="J106" t="s">
        <v>579</v>
      </c>
      <c r="L106" s="125">
        <v>44562</v>
      </c>
      <c r="M106" s="125">
        <v>44926</v>
      </c>
      <c r="N106" s="126">
        <f t="shared" si="4"/>
        <v>44926</v>
      </c>
      <c r="Q106" t="s">
        <v>566</v>
      </c>
      <c r="R106" t="s">
        <v>567</v>
      </c>
      <c r="S106" t="s">
        <v>568</v>
      </c>
      <c r="T106" t="s">
        <v>569</v>
      </c>
    </row>
    <row r="107" spans="1:20" ht="15.75" hidden="1" outlineLevel="1" x14ac:dyDescent="0.25">
      <c r="A107">
        <f t="shared" si="3"/>
        <v>58</v>
      </c>
      <c r="B107" t="s">
        <v>560</v>
      </c>
      <c r="C107" t="s">
        <v>561</v>
      </c>
      <c r="D107" s="47" t="s">
        <v>574</v>
      </c>
      <c r="E107" s="127" t="s">
        <v>634</v>
      </c>
      <c r="F107" t="s">
        <v>576</v>
      </c>
      <c r="G107" t="s">
        <v>565</v>
      </c>
      <c r="H107" t="s">
        <v>577</v>
      </c>
      <c r="I107" t="s">
        <v>578</v>
      </c>
      <c r="J107" t="s">
        <v>579</v>
      </c>
      <c r="L107" s="125">
        <v>44562</v>
      </c>
      <c r="M107" s="125">
        <v>44926</v>
      </c>
      <c r="N107" s="126">
        <f t="shared" si="4"/>
        <v>44926</v>
      </c>
      <c r="Q107" t="s">
        <v>566</v>
      </c>
      <c r="R107" t="s">
        <v>567</v>
      </c>
      <c r="S107" t="s">
        <v>568</v>
      </c>
      <c r="T107" t="s">
        <v>569</v>
      </c>
    </row>
    <row r="108" spans="1:20" ht="15.75" hidden="1" outlineLevel="1" x14ac:dyDescent="0.25">
      <c r="A108">
        <f t="shared" si="3"/>
        <v>59</v>
      </c>
      <c r="B108" t="s">
        <v>560</v>
      </c>
      <c r="C108" t="s">
        <v>561</v>
      </c>
      <c r="D108" s="47" t="s">
        <v>574</v>
      </c>
      <c r="E108" s="127" t="s">
        <v>635</v>
      </c>
      <c r="F108" t="s">
        <v>576</v>
      </c>
      <c r="G108" t="s">
        <v>565</v>
      </c>
      <c r="H108" t="s">
        <v>577</v>
      </c>
      <c r="I108" t="s">
        <v>578</v>
      </c>
      <c r="J108" t="s">
        <v>579</v>
      </c>
      <c r="L108" s="125">
        <v>44562</v>
      </c>
      <c r="M108" s="125">
        <v>44926</v>
      </c>
      <c r="N108" s="126">
        <f t="shared" si="4"/>
        <v>44926</v>
      </c>
      <c r="Q108" t="s">
        <v>566</v>
      </c>
      <c r="R108" t="s">
        <v>567</v>
      </c>
      <c r="S108" t="s">
        <v>568</v>
      </c>
      <c r="T108" t="s">
        <v>569</v>
      </c>
    </row>
    <row r="109" spans="1:20" ht="15.75" hidden="1" outlineLevel="1" x14ac:dyDescent="0.25">
      <c r="A109">
        <f t="shared" si="3"/>
        <v>60</v>
      </c>
      <c r="B109" t="s">
        <v>560</v>
      </c>
      <c r="C109" t="s">
        <v>561</v>
      </c>
      <c r="D109" s="47" t="s">
        <v>574</v>
      </c>
      <c r="E109" s="127" t="s">
        <v>636</v>
      </c>
      <c r="F109" t="s">
        <v>576</v>
      </c>
      <c r="G109" t="s">
        <v>565</v>
      </c>
      <c r="H109" t="s">
        <v>577</v>
      </c>
      <c r="I109" t="s">
        <v>578</v>
      </c>
      <c r="J109" t="s">
        <v>579</v>
      </c>
      <c r="L109" s="125">
        <v>44562</v>
      </c>
      <c r="M109" s="125">
        <v>44926</v>
      </c>
      <c r="N109" s="126">
        <f t="shared" si="4"/>
        <v>44926</v>
      </c>
      <c r="Q109" t="s">
        <v>566</v>
      </c>
      <c r="R109" t="s">
        <v>567</v>
      </c>
      <c r="S109" t="s">
        <v>568</v>
      </c>
      <c r="T109" t="s">
        <v>569</v>
      </c>
    </row>
    <row r="110" spans="1:20" ht="15.75" hidden="1" outlineLevel="1" x14ac:dyDescent="0.25">
      <c r="A110">
        <f t="shared" si="3"/>
        <v>61</v>
      </c>
      <c r="B110" t="s">
        <v>560</v>
      </c>
      <c r="C110" t="s">
        <v>561</v>
      </c>
      <c r="D110" s="47" t="s">
        <v>574</v>
      </c>
      <c r="E110" s="127" t="s">
        <v>637</v>
      </c>
      <c r="F110" t="s">
        <v>576</v>
      </c>
      <c r="G110" t="s">
        <v>565</v>
      </c>
      <c r="H110" t="s">
        <v>577</v>
      </c>
      <c r="I110" t="s">
        <v>578</v>
      </c>
      <c r="J110" t="s">
        <v>579</v>
      </c>
      <c r="L110" s="125">
        <v>44562</v>
      </c>
      <c r="M110" s="125">
        <v>44926</v>
      </c>
      <c r="N110" s="126">
        <f t="shared" si="4"/>
        <v>44926</v>
      </c>
      <c r="Q110" t="s">
        <v>566</v>
      </c>
      <c r="R110" t="s">
        <v>567</v>
      </c>
      <c r="S110" t="s">
        <v>568</v>
      </c>
      <c r="T110" t="s">
        <v>569</v>
      </c>
    </row>
    <row r="111" spans="1:20" ht="15.75" hidden="1" outlineLevel="1" x14ac:dyDescent="0.25">
      <c r="A111">
        <f t="shared" si="3"/>
        <v>62</v>
      </c>
      <c r="B111" t="s">
        <v>560</v>
      </c>
      <c r="C111" t="s">
        <v>561</v>
      </c>
      <c r="D111" s="47" t="s">
        <v>574</v>
      </c>
      <c r="E111" s="127" t="s">
        <v>638</v>
      </c>
      <c r="F111" t="s">
        <v>576</v>
      </c>
      <c r="G111" t="s">
        <v>565</v>
      </c>
      <c r="H111" t="s">
        <v>577</v>
      </c>
      <c r="I111" t="s">
        <v>578</v>
      </c>
      <c r="J111" t="s">
        <v>579</v>
      </c>
      <c r="L111" s="125">
        <v>44562</v>
      </c>
      <c r="M111" s="125">
        <v>44926</v>
      </c>
      <c r="N111" s="126">
        <f t="shared" si="4"/>
        <v>44926</v>
      </c>
      <c r="Q111" t="s">
        <v>566</v>
      </c>
      <c r="R111" t="s">
        <v>567</v>
      </c>
      <c r="S111" t="s">
        <v>568</v>
      </c>
      <c r="T111" t="s">
        <v>569</v>
      </c>
    </row>
    <row r="112" spans="1:20" ht="15.75" hidden="1" outlineLevel="1" x14ac:dyDescent="0.25">
      <c r="A112">
        <f t="shared" si="3"/>
        <v>63</v>
      </c>
      <c r="B112" t="s">
        <v>560</v>
      </c>
      <c r="C112" t="s">
        <v>561</v>
      </c>
      <c r="D112" s="47" t="s">
        <v>574</v>
      </c>
      <c r="E112" s="127" t="s">
        <v>639</v>
      </c>
      <c r="F112" t="s">
        <v>576</v>
      </c>
      <c r="G112" t="s">
        <v>565</v>
      </c>
      <c r="H112" t="s">
        <v>577</v>
      </c>
      <c r="I112" t="s">
        <v>578</v>
      </c>
      <c r="J112" t="s">
        <v>579</v>
      </c>
      <c r="L112" s="125">
        <v>44562</v>
      </c>
      <c r="M112" s="125">
        <v>44926</v>
      </c>
      <c r="N112" s="126">
        <f t="shared" si="4"/>
        <v>44926</v>
      </c>
      <c r="Q112" t="s">
        <v>566</v>
      </c>
      <c r="R112" t="s">
        <v>567</v>
      </c>
      <c r="S112" t="s">
        <v>568</v>
      </c>
      <c r="T112" t="s">
        <v>569</v>
      </c>
    </row>
    <row r="113" spans="1:20" ht="15.75" hidden="1" outlineLevel="1" x14ac:dyDescent="0.25">
      <c r="A113">
        <f t="shared" si="3"/>
        <v>64</v>
      </c>
      <c r="B113" t="s">
        <v>560</v>
      </c>
      <c r="C113" t="s">
        <v>561</v>
      </c>
      <c r="D113" s="47" t="s">
        <v>574</v>
      </c>
      <c r="E113" s="127" t="s">
        <v>640</v>
      </c>
      <c r="F113" t="s">
        <v>576</v>
      </c>
      <c r="G113" t="s">
        <v>565</v>
      </c>
      <c r="H113" t="s">
        <v>577</v>
      </c>
      <c r="I113" t="s">
        <v>578</v>
      </c>
      <c r="J113" t="s">
        <v>579</v>
      </c>
      <c r="L113" s="125">
        <v>44562</v>
      </c>
      <c r="M113" s="125">
        <v>44926</v>
      </c>
      <c r="N113" s="126">
        <f t="shared" si="4"/>
        <v>44926</v>
      </c>
      <c r="Q113" t="s">
        <v>566</v>
      </c>
      <c r="R113" t="s">
        <v>567</v>
      </c>
      <c r="S113" t="s">
        <v>568</v>
      </c>
      <c r="T113" t="s">
        <v>569</v>
      </c>
    </row>
    <row r="114" spans="1:20" ht="15.75" hidden="1" outlineLevel="1" x14ac:dyDescent="0.25">
      <c r="A114">
        <f t="shared" si="3"/>
        <v>65</v>
      </c>
      <c r="B114" t="s">
        <v>560</v>
      </c>
      <c r="C114" t="s">
        <v>561</v>
      </c>
      <c r="D114" s="47" t="s">
        <v>574</v>
      </c>
      <c r="E114" s="127" t="s">
        <v>641</v>
      </c>
      <c r="F114" t="s">
        <v>576</v>
      </c>
      <c r="G114" t="s">
        <v>565</v>
      </c>
      <c r="H114" t="s">
        <v>577</v>
      </c>
      <c r="I114" t="s">
        <v>578</v>
      </c>
      <c r="J114" t="s">
        <v>579</v>
      </c>
      <c r="L114" s="125">
        <v>44562</v>
      </c>
      <c r="M114" s="125">
        <v>44926</v>
      </c>
      <c r="N114" s="126">
        <f t="shared" si="4"/>
        <v>44926</v>
      </c>
      <c r="Q114" t="s">
        <v>566</v>
      </c>
      <c r="R114" t="s">
        <v>567</v>
      </c>
      <c r="S114" t="s">
        <v>568</v>
      </c>
      <c r="T114" t="s">
        <v>569</v>
      </c>
    </row>
    <row r="115" spans="1:20" ht="15.75" hidden="1" outlineLevel="1" x14ac:dyDescent="0.25">
      <c r="A115">
        <f t="shared" si="3"/>
        <v>66</v>
      </c>
      <c r="B115" t="s">
        <v>560</v>
      </c>
      <c r="C115" t="s">
        <v>561</v>
      </c>
      <c r="D115" s="47" t="s">
        <v>574</v>
      </c>
      <c r="E115" s="127" t="s">
        <v>642</v>
      </c>
      <c r="F115" t="s">
        <v>576</v>
      </c>
      <c r="G115" t="s">
        <v>565</v>
      </c>
      <c r="H115" t="s">
        <v>577</v>
      </c>
      <c r="I115" t="s">
        <v>578</v>
      </c>
      <c r="J115" t="s">
        <v>579</v>
      </c>
      <c r="L115" s="125">
        <v>44562</v>
      </c>
      <c r="M115" s="125">
        <v>45067</v>
      </c>
      <c r="N115" s="126">
        <f t="shared" si="4"/>
        <v>45067</v>
      </c>
      <c r="Q115" t="s">
        <v>566</v>
      </c>
      <c r="R115" t="s">
        <v>567</v>
      </c>
      <c r="S115" t="s">
        <v>568</v>
      </c>
      <c r="T115" t="s">
        <v>569</v>
      </c>
    </row>
    <row r="116" spans="1:20" ht="15.75" hidden="1" outlineLevel="1" x14ac:dyDescent="0.25">
      <c r="A116">
        <f t="shared" ref="A116:A179" si="5">A115+1</f>
        <v>67</v>
      </c>
      <c r="B116" t="s">
        <v>560</v>
      </c>
      <c r="C116" t="s">
        <v>561</v>
      </c>
      <c r="D116" s="47" t="s">
        <v>574</v>
      </c>
      <c r="E116" s="127" t="s">
        <v>643</v>
      </c>
      <c r="F116" t="s">
        <v>576</v>
      </c>
      <c r="G116" t="s">
        <v>565</v>
      </c>
      <c r="H116" t="s">
        <v>577</v>
      </c>
      <c r="I116" t="s">
        <v>578</v>
      </c>
      <c r="J116" t="s">
        <v>579</v>
      </c>
      <c r="L116" s="125">
        <v>44562</v>
      </c>
      <c r="M116" s="125">
        <v>45067</v>
      </c>
      <c r="N116" s="126">
        <f t="shared" ref="N116:N179" si="6">M116</f>
        <v>45067</v>
      </c>
      <c r="Q116" t="s">
        <v>566</v>
      </c>
      <c r="R116" t="s">
        <v>567</v>
      </c>
      <c r="S116" t="s">
        <v>568</v>
      </c>
      <c r="T116" t="s">
        <v>569</v>
      </c>
    </row>
    <row r="117" spans="1:20" ht="15.75" hidden="1" outlineLevel="1" x14ac:dyDescent="0.25">
      <c r="A117">
        <f t="shared" si="5"/>
        <v>68</v>
      </c>
      <c r="B117" t="s">
        <v>560</v>
      </c>
      <c r="C117" t="s">
        <v>561</v>
      </c>
      <c r="D117" s="47" t="s">
        <v>574</v>
      </c>
      <c r="E117" s="127" t="s">
        <v>644</v>
      </c>
      <c r="F117" t="s">
        <v>576</v>
      </c>
      <c r="G117" t="s">
        <v>565</v>
      </c>
      <c r="H117" t="s">
        <v>577</v>
      </c>
      <c r="I117" t="s">
        <v>578</v>
      </c>
      <c r="J117" t="s">
        <v>579</v>
      </c>
      <c r="L117" s="125">
        <v>44562</v>
      </c>
      <c r="M117" s="125">
        <v>44926</v>
      </c>
      <c r="N117" s="126">
        <f t="shared" si="6"/>
        <v>44926</v>
      </c>
      <c r="Q117" t="s">
        <v>566</v>
      </c>
      <c r="R117" t="s">
        <v>567</v>
      </c>
      <c r="S117" t="s">
        <v>568</v>
      </c>
      <c r="T117" t="s">
        <v>569</v>
      </c>
    </row>
    <row r="118" spans="1:20" ht="15.75" hidden="1" outlineLevel="1" x14ac:dyDescent="0.25">
      <c r="A118">
        <f t="shared" si="5"/>
        <v>69</v>
      </c>
      <c r="B118" t="s">
        <v>560</v>
      </c>
      <c r="C118" t="s">
        <v>561</v>
      </c>
      <c r="D118" s="47" t="s">
        <v>574</v>
      </c>
      <c r="E118" s="127" t="s">
        <v>645</v>
      </c>
      <c r="F118" t="s">
        <v>576</v>
      </c>
      <c r="G118" t="s">
        <v>565</v>
      </c>
      <c r="H118" t="s">
        <v>577</v>
      </c>
      <c r="I118" t="s">
        <v>578</v>
      </c>
      <c r="J118" t="s">
        <v>579</v>
      </c>
      <c r="L118" s="125">
        <v>44562</v>
      </c>
      <c r="M118" s="125">
        <v>44926</v>
      </c>
      <c r="N118" s="126">
        <f t="shared" si="6"/>
        <v>44926</v>
      </c>
      <c r="Q118" t="s">
        <v>566</v>
      </c>
      <c r="R118" t="s">
        <v>567</v>
      </c>
      <c r="S118" t="s">
        <v>568</v>
      </c>
      <c r="T118" t="s">
        <v>569</v>
      </c>
    </row>
    <row r="119" spans="1:20" ht="15.75" hidden="1" outlineLevel="1" x14ac:dyDescent="0.25">
      <c r="A119">
        <f t="shared" si="5"/>
        <v>70</v>
      </c>
      <c r="B119" t="s">
        <v>560</v>
      </c>
      <c r="C119" t="s">
        <v>561</v>
      </c>
      <c r="D119" s="47" t="s">
        <v>574</v>
      </c>
      <c r="E119" s="127" t="s">
        <v>646</v>
      </c>
      <c r="F119" t="s">
        <v>576</v>
      </c>
      <c r="G119" t="s">
        <v>565</v>
      </c>
      <c r="H119" t="s">
        <v>577</v>
      </c>
      <c r="I119" t="s">
        <v>578</v>
      </c>
      <c r="J119" t="s">
        <v>579</v>
      </c>
      <c r="L119" s="125">
        <v>44562</v>
      </c>
      <c r="M119" s="125">
        <v>44926</v>
      </c>
      <c r="N119" s="126">
        <f t="shared" si="6"/>
        <v>44926</v>
      </c>
      <c r="Q119" t="s">
        <v>566</v>
      </c>
      <c r="R119" t="s">
        <v>567</v>
      </c>
      <c r="S119" t="s">
        <v>568</v>
      </c>
      <c r="T119" t="s">
        <v>569</v>
      </c>
    </row>
    <row r="120" spans="1:20" ht="15.75" hidden="1" outlineLevel="1" x14ac:dyDescent="0.25">
      <c r="A120">
        <f t="shared" si="5"/>
        <v>71</v>
      </c>
      <c r="B120" t="s">
        <v>560</v>
      </c>
      <c r="C120" t="s">
        <v>561</v>
      </c>
      <c r="D120" s="47" t="s">
        <v>574</v>
      </c>
      <c r="E120" s="127" t="s">
        <v>647</v>
      </c>
      <c r="F120" t="s">
        <v>576</v>
      </c>
      <c r="G120" t="s">
        <v>565</v>
      </c>
      <c r="H120" t="s">
        <v>577</v>
      </c>
      <c r="I120" t="s">
        <v>578</v>
      </c>
      <c r="J120" t="s">
        <v>579</v>
      </c>
      <c r="L120" s="125">
        <v>44562</v>
      </c>
      <c r="M120" s="125">
        <v>44926</v>
      </c>
      <c r="N120" s="126">
        <f t="shared" si="6"/>
        <v>44926</v>
      </c>
      <c r="Q120" t="s">
        <v>566</v>
      </c>
      <c r="R120" t="s">
        <v>567</v>
      </c>
      <c r="S120" t="s">
        <v>568</v>
      </c>
      <c r="T120" t="s">
        <v>569</v>
      </c>
    </row>
    <row r="121" spans="1:20" ht="15.75" hidden="1" outlineLevel="1" x14ac:dyDescent="0.25">
      <c r="A121">
        <f t="shared" si="5"/>
        <v>72</v>
      </c>
      <c r="B121" t="s">
        <v>560</v>
      </c>
      <c r="C121" t="s">
        <v>561</v>
      </c>
      <c r="D121" s="47" t="s">
        <v>574</v>
      </c>
      <c r="E121" s="127" t="s">
        <v>648</v>
      </c>
      <c r="F121" t="s">
        <v>576</v>
      </c>
      <c r="G121" t="s">
        <v>565</v>
      </c>
      <c r="H121" t="s">
        <v>577</v>
      </c>
      <c r="I121" t="s">
        <v>578</v>
      </c>
      <c r="J121" t="s">
        <v>579</v>
      </c>
      <c r="L121" s="125">
        <v>44562</v>
      </c>
      <c r="M121" s="125">
        <v>44926</v>
      </c>
      <c r="N121" s="126">
        <f t="shared" si="6"/>
        <v>44926</v>
      </c>
      <c r="Q121" t="s">
        <v>566</v>
      </c>
      <c r="R121" t="s">
        <v>567</v>
      </c>
      <c r="S121" t="s">
        <v>568</v>
      </c>
      <c r="T121" t="s">
        <v>569</v>
      </c>
    </row>
    <row r="122" spans="1:20" ht="15.75" hidden="1" outlineLevel="1" x14ac:dyDescent="0.25">
      <c r="A122">
        <f t="shared" si="5"/>
        <v>73</v>
      </c>
      <c r="B122" t="s">
        <v>560</v>
      </c>
      <c r="C122" t="s">
        <v>561</v>
      </c>
      <c r="D122" s="47" t="s">
        <v>574</v>
      </c>
      <c r="E122" s="127" t="s">
        <v>649</v>
      </c>
      <c r="F122" t="s">
        <v>576</v>
      </c>
      <c r="G122" t="s">
        <v>565</v>
      </c>
      <c r="H122" t="s">
        <v>577</v>
      </c>
      <c r="I122" t="s">
        <v>578</v>
      </c>
      <c r="J122" t="s">
        <v>579</v>
      </c>
      <c r="L122" s="125">
        <v>44562</v>
      </c>
      <c r="M122" s="125">
        <v>44926</v>
      </c>
      <c r="N122" s="126">
        <f t="shared" si="6"/>
        <v>44926</v>
      </c>
      <c r="Q122" t="s">
        <v>566</v>
      </c>
      <c r="R122" t="s">
        <v>567</v>
      </c>
      <c r="S122" t="s">
        <v>568</v>
      </c>
      <c r="T122" t="s">
        <v>569</v>
      </c>
    </row>
    <row r="123" spans="1:20" ht="15.75" hidden="1" outlineLevel="1" x14ac:dyDescent="0.25">
      <c r="A123">
        <f t="shared" si="5"/>
        <v>74</v>
      </c>
      <c r="B123" t="s">
        <v>560</v>
      </c>
      <c r="C123" t="s">
        <v>561</v>
      </c>
      <c r="D123" s="47" t="s">
        <v>574</v>
      </c>
      <c r="E123" s="127" t="s">
        <v>650</v>
      </c>
      <c r="F123" t="s">
        <v>576</v>
      </c>
      <c r="G123" t="s">
        <v>565</v>
      </c>
      <c r="H123" t="s">
        <v>577</v>
      </c>
      <c r="I123" t="s">
        <v>578</v>
      </c>
      <c r="J123" t="s">
        <v>579</v>
      </c>
      <c r="L123" s="125">
        <v>44562</v>
      </c>
      <c r="M123" s="125">
        <v>44926</v>
      </c>
      <c r="N123" s="126">
        <f t="shared" si="6"/>
        <v>44926</v>
      </c>
      <c r="Q123" t="s">
        <v>566</v>
      </c>
      <c r="R123" t="s">
        <v>567</v>
      </c>
      <c r="S123" t="s">
        <v>568</v>
      </c>
      <c r="T123" t="s">
        <v>569</v>
      </c>
    </row>
    <row r="124" spans="1:20" ht="15.75" hidden="1" outlineLevel="1" x14ac:dyDescent="0.25">
      <c r="A124">
        <f t="shared" si="5"/>
        <v>75</v>
      </c>
      <c r="B124" t="s">
        <v>560</v>
      </c>
      <c r="C124" t="s">
        <v>561</v>
      </c>
      <c r="D124" s="47" t="s">
        <v>574</v>
      </c>
      <c r="E124" s="127" t="s">
        <v>651</v>
      </c>
      <c r="F124" t="s">
        <v>576</v>
      </c>
      <c r="G124" t="s">
        <v>565</v>
      </c>
      <c r="H124" t="s">
        <v>577</v>
      </c>
      <c r="I124" t="s">
        <v>578</v>
      </c>
      <c r="J124" t="s">
        <v>579</v>
      </c>
      <c r="L124" s="125">
        <v>44562</v>
      </c>
      <c r="M124" s="125">
        <v>44926</v>
      </c>
      <c r="N124" s="126">
        <f t="shared" si="6"/>
        <v>44926</v>
      </c>
      <c r="Q124" t="s">
        <v>566</v>
      </c>
      <c r="R124" t="s">
        <v>567</v>
      </c>
      <c r="S124" t="s">
        <v>568</v>
      </c>
      <c r="T124" t="s">
        <v>569</v>
      </c>
    </row>
    <row r="125" spans="1:20" ht="15.75" hidden="1" outlineLevel="1" x14ac:dyDescent="0.25">
      <c r="A125">
        <f t="shared" si="5"/>
        <v>76</v>
      </c>
      <c r="B125" t="s">
        <v>560</v>
      </c>
      <c r="C125" t="s">
        <v>561</v>
      </c>
      <c r="D125" s="47" t="s">
        <v>574</v>
      </c>
      <c r="E125" s="127" t="s">
        <v>652</v>
      </c>
      <c r="F125" t="s">
        <v>576</v>
      </c>
      <c r="G125" t="s">
        <v>565</v>
      </c>
      <c r="H125" t="s">
        <v>577</v>
      </c>
      <c r="I125" t="s">
        <v>578</v>
      </c>
      <c r="J125" t="s">
        <v>579</v>
      </c>
      <c r="L125" s="125">
        <v>44562</v>
      </c>
      <c r="M125" s="125">
        <v>44926</v>
      </c>
      <c r="N125" s="126">
        <f t="shared" si="6"/>
        <v>44926</v>
      </c>
      <c r="Q125" t="s">
        <v>566</v>
      </c>
      <c r="R125" t="s">
        <v>567</v>
      </c>
      <c r="S125" t="s">
        <v>568</v>
      </c>
      <c r="T125" t="s">
        <v>569</v>
      </c>
    </row>
    <row r="126" spans="1:20" ht="15.75" hidden="1" outlineLevel="1" x14ac:dyDescent="0.25">
      <c r="A126">
        <f t="shared" si="5"/>
        <v>77</v>
      </c>
      <c r="B126" t="s">
        <v>560</v>
      </c>
      <c r="C126" t="s">
        <v>561</v>
      </c>
      <c r="D126" s="47" t="s">
        <v>574</v>
      </c>
      <c r="E126" s="127" t="s">
        <v>653</v>
      </c>
      <c r="F126" t="s">
        <v>576</v>
      </c>
      <c r="G126" t="s">
        <v>565</v>
      </c>
      <c r="H126" t="s">
        <v>577</v>
      </c>
      <c r="I126" t="s">
        <v>578</v>
      </c>
      <c r="J126" t="s">
        <v>579</v>
      </c>
      <c r="L126" s="125">
        <v>44562</v>
      </c>
      <c r="M126" s="125">
        <v>44926</v>
      </c>
      <c r="N126" s="126">
        <f t="shared" si="6"/>
        <v>44926</v>
      </c>
      <c r="Q126" t="s">
        <v>566</v>
      </c>
      <c r="R126" t="s">
        <v>567</v>
      </c>
      <c r="S126" t="s">
        <v>568</v>
      </c>
      <c r="T126" t="s">
        <v>569</v>
      </c>
    </row>
    <row r="127" spans="1:20" ht="15.75" hidden="1" outlineLevel="1" x14ac:dyDescent="0.25">
      <c r="A127">
        <f t="shared" si="5"/>
        <v>78</v>
      </c>
      <c r="B127" t="s">
        <v>560</v>
      </c>
      <c r="C127" t="s">
        <v>561</v>
      </c>
      <c r="D127" s="47" t="s">
        <v>574</v>
      </c>
      <c r="E127" s="127" t="s">
        <v>654</v>
      </c>
      <c r="F127" t="s">
        <v>576</v>
      </c>
      <c r="G127" t="s">
        <v>565</v>
      </c>
      <c r="H127" t="s">
        <v>577</v>
      </c>
      <c r="I127" t="s">
        <v>578</v>
      </c>
      <c r="J127" t="s">
        <v>579</v>
      </c>
      <c r="L127" s="125">
        <v>44562</v>
      </c>
      <c r="M127" s="125">
        <v>44926</v>
      </c>
      <c r="N127" s="126">
        <f t="shared" si="6"/>
        <v>44926</v>
      </c>
      <c r="Q127" t="s">
        <v>566</v>
      </c>
      <c r="R127" t="s">
        <v>567</v>
      </c>
      <c r="S127" t="s">
        <v>568</v>
      </c>
      <c r="T127" t="s">
        <v>569</v>
      </c>
    </row>
    <row r="128" spans="1:20" ht="15.75" hidden="1" outlineLevel="1" x14ac:dyDescent="0.25">
      <c r="A128">
        <f t="shared" si="5"/>
        <v>79</v>
      </c>
      <c r="B128" t="s">
        <v>560</v>
      </c>
      <c r="C128" t="s">
        <v>561</v>
      </c>
      <c r="D128" s="47" t="s">
        <v>574</v>
      </c>
      <c r="E128" s="127" t="s">
        <v>655</v>
      </c>
      <c r="F128" t="s">
        <v>576</v>
      </c>
      <c r="G128" t="s">
        <v>565</v>
      </c>
      <c r="H128" t="s">
        <v>577</v>
      </c>
      <c r="I128" t="s">
        <v>578</v>
      </c>
      <c r="J128" t="s">
        <v>579</v>
      </c>
      <c r="L128" s="125">
        <v>44562</v>
      </c>
      <c r="M128" s="125">
        <v>44926</v>
      </c>
      <c r="N128" s="126">
        <f t="shared" si="6"/>
        <v>44926</v>
      </c>
      <c r="Q128" t="s">
        <v>566</v>
      </c>
      <c r="R128" t="s">
        <v>567</v>
      </c>
      <c r="S128" t="s">
        <v>568</v>
      </c>
      <c r="T128" t="s">
        <v>569</v>
      </c>
    </row>
    <row r="129" spans="1:20" ht="15.75" hidden="1" outlineLevel="1" x14ac:dyDescent="0.25">
      <c r="A129">
        <f t="shared" si="5"/>
        <v>80</v>
      </c>
      <c r="B129" t="s">
        <v>560</v>
      </c>
      <c r="C129" t="s">
        <v>561</v>
      </c>
      <c r="D129" s="47" t="s">
        <v>574</v>
      </c>
      <c r="E129" s="127" t="s">
        <v>656</v>
      </c>
      <c r="F129" t="s">
        <v>576</v>
      </c>
      <c r="G129" t="s">
        <v>565</v>
      </c>
      <c r="H129" t="s">
        <v>577</v>
      </c>
      <c r="I129" t="s">
        <v>578</v>
      </c>
      <c r="J129" t="s">
        <v>579</v>
      </c>
      <c r="L129" s="125">
        <v>44562</v>
      </c>
      <c r="M129" s="125">
        <v>44926</v>
      </c>
      <c r="N129" s="126">
        <f t="shared" si="6"/>
        <v>44926</v>
      </c>
      <c r="Q129" t="s">
        <v>566</v>
      </c>
      <c r="R129" t="s">
        <v>567</v>
      </c>
      <c r="S129" t="s">
        <v>568</v>
      </c>
      <c r="T129" t="s">
        <v>569</v>
      </c>
    </row>
    <row r="130" spans="1:20" ht="15.75" hidden="1" outlineLevel="1" x14ac:dyDescent="0.25">
      <c r="A130">
        <f t="shared" si="5"/>
        <v>81</v>
      </c>
      <c r="B130" t="s">
        <v>560</v>
      </c>
      <c r="C130" t="s">
        <v>561</v>
      </c>
      <c r="D130" s="47" t="s">
        <v>574</v>
      </c>
      <c r="E130" s="127" t="s">
        <v>657</v>
      </c>
      <c r="F130" t="s">
        <v>576</v>
      </c>
      <c r="G130" t="s">
        <v>565</v>
      </c>
      <c r="H130" t="s">
        <v>577</v>
      </c>
      <c r="I130" t="s">
        <v>578</v>
      </c>
      <c r="J130" t="s">
        <v>579</v>
      </c>
      <c r="L130" s="125">
        <v>44562</v>
      </c>
      <c r="M130" s="125">
        <v>44926</v>
      </c>
      <c r="N130" s="126">
        <f t="shared" si="6"/>
        <v>44926</v>
      </c>
      <c r="Q130" t="s">
        <v>566</v>
      </c>
      <c r="R130" t="s">
        <v>567</v>
      </c>
      <c r="S130" t="s">
        <v>568</v>
      </c>
      <c r="T130" t="s">
        <v>569</v>
      </c>
    </row>
    <row r="131" spans="1:20" ht="15.75" hidden="1" outlineLevel="1" x14ac:dyDescent="0.25">
      <c r="A131">
        <f t="shared" si="5"/>
        <v>82</v>
      </c>
      <c r="B131" t="s">
        <v>560</v>
      </c>
      <c r="C131" t="s">
        <v>561</v>
      </c>
      <c r="D131" s="47" t="s">
        <v>574</v>
      </c>
      <c r="E131" s="127" t="s">
        <v>658</v>
      </c>
      <c r="F131" t="s">
        <v>576</v>
      </c>
      <c r="G131" t="s">
        <v>565</v>
      </c>
      <c r="H131" t="s">
        <v>577</v>
      </c>
      <c r="I131" t="s">
        <v>578</v>
      </c>
      <c r="J131" t="s">
        <v>579</v>
      </c>
      <c r="L131" s="125">
        <v>44562</v>
      </c>
      <c r="M131" s="125">
        <v>44926</v>
      </c>
      <c r="N131" s="126">
        <f t="shared" si="6"/>
        <v>44926</v>
      </c>
      <c r="Q131" t="s">
        <v>566</v>
      </c>
      <c r="R131" t="s">
        <v>567</v>
      </c>
      <c r="S131" t="s">
        <v>568</v>
      </c>
      <c r="T131" t="s">
        <v>569</v>
      </c>
    </row>
    <row r="132" spans="1:20" ht="15.75" hidden="1" outlineLevel="1" x14ac:dyDescent="0.25">
      <c r="A132">
        <f t="shared" si="5"/>
        <v>83</v>
      </c>
      <c r="B132" t="s">
        <v>560</v>
      </c>
      <c r="C132" t="s">
        <v>561</v>
      </c>
      <c r="D132" s="47" t="s">
        <v>574</v>
      </c>
      <c r="E132" s="127" t="s">
        <v>659</v>
      </c>
      <c r="F132" t="s">
        <v>576</v>
      </c>
      <c r="G132" t="s">
        <v>565</v>
      </c>
      <c r="H132" t="s">
        <v>577</v>
      </c>
      <c r="I132" t="s">
        <v>578</v>
      </c>
      <c r="J132" t="s">
        <v>579</v>
      </c>
      <c r="L132" s="125">
        <v>44562</v>
      </c>
      <c r="M132" s="125">
        <v>44926</v>
      </c>
      <c r="N132" s="126">
        <f t="shared" si="6"/>
        <v>44926</v>
      </c>
      <c r="Q132" t="s">
        <v>566</v>
      </c>
      <c r="R132" t="s">
        <v>567</v>
      </c>
      <c r="S132" t="s">
        <v>568</v>
      </c>
      <c r="T132" t="s">
        <v>569</v>
      </c>
    </row>
    <row r="133" spans="1:20" ht="15.75" hidden="1" outlineLevel="1" x14ac:dyDescent="0.25">
      <c r="A133">
        <f t="shared" si="5"/>
        <v>84</v>
      </c>
      <c r="B133" t="s">
        <v>560</v>
      </c>
      <c r="C133" t="s">
        <v>561</v>
      </c>
      <c r="D133" s="47" t="s">
        <v>574</v>
      </c>
      <c r="E133" s="127" t="s">
        <v>660</v>
      </c>
      <c r="F133" t="s">
        <v>576</v>
      </c>
      <c r="G133" t="s">
        <v>565</v>
      </c>
      <c r="H133" t="s">
        <v>577</v>
      </c>
      <c r="I133" t="s">
        <v>578</v>
      </c>
      <c r="J133" t="s">
        <v>579</v>
      </c>
      <c r="L133" s="125">
        <v>44562</v>
      </c>
      <c r="M133" s="125">
        <v>44926</v>
      </c>
      <c r="N133" s="126">
        <f t="shared" si="6"/>
        <v>44926</v>
      </c>
      <c r="Q133" t="s">
        <v>566</v>
      </c>
      <c r="R133" t="s">
        <v>567</v>
      </c>
      <c r="S133" t="s">
        <v>568</v>
      </c>
      <c r="T133" t="s">
        <v>569</v>
      </c>
    </row>
    <row r="134" spans="1:20" ht="15.75" hidden="1" outlineLevel="1" x14ac:dyDescent="0.25">
      <c r="A134">
        <f t="shared" si="5"/>
        <v>85</v>
      </c>
      <c r="B134" t="s">
        <v>560</v>
      </c>
      <c r="C134" t="s">
        <v>561</v>
      </c>
      <c r="D134" s="47" t="s">
        <v>574</v>
      </c>
      <c r="E134" s="127" t="s">
        <v>661</v>
      </c>
      <c r="F134" t="s">
        <v>576</v>
      </c>
      <c r="G134" t="s">
        <v>565</v>
      </c>
      <c r="H134" t="s">
        <v>577</v>
      </c>
      <c r="I134" t="s">
        <v>578</v>
      </c>
      <c r="J134" t="s">
        <v>579</v>
      </c>
      <c r="L134" s="125">
        <v>44562</v>
      </c>
      <c r="M134" s="125">
        <v>44926</v>
      </c>
      <c r="N134" s="126">
        <f t="shared" si="6"/>
        <v>44926</v>
      </c>
      <c r="Q134" t="s">
        <v>566</v>
      </c>
      <c r="R134" t="s">
        <v>567</v>
      </c>
      <c r="S134" t="s">
        <v>568</v>
      </c>
      <c r="T134" t="s">
        <v>569</v>
      </c>
    </row>
    <row r="135" spans="1:20" ht="15.75" hidden="1" outlineLevel="1" x14ac:dyDescent="0.25">
      <c r="A135">
        <f t="shared" si="5"/>
        <v>86</v>
      </c>
      <c r="B135" t="s">
        <v>560</v>
      </c>
      <c r="C135" t="s">
        <v>561</v>
      </c>
      <c r="D135" s="47" t="s">
        <v>574</v>
      </c>
      <c r="E135" s="127" t="s">
        <v>662</v>
      </c>
      <c r="F135" t="s">
        <v>576</v>
      </c>
      <c r="G135" t="s">
        <v>565</v>
      </c>
      <c r="H135" t="s">
        <v>577</v>
      </c>
      <c r="I135" t="s">
        <v>578</v>
      </c>
      <c r="J135" t="s">
        <v>579</v>
      </c>
      <c r="L135" s="125">
        <v>44562</v>
      </c>
      <c r="M135" s="125">
        <v>44926</v>
      </c>
      <c r="N135" s="126">
        <f t="shared" si="6"/>
        <v>44926</v>
      </c>
      <c r="Q135" t="s">
        <v>566</v>
      </c>
      <c r="R135" t="s">
        <v>567</v>
      </c>
      <c r="S135" t="s">
        <v>568</v>
      </c>
      <c r="T135" t="s">
        <v>569</v>
      </c>
    </row>
    <row r="136" spans="1:20" ht="15.75" hidden="1" outlineLevel="1" x14ac:dyDescent="0.25">
      <c r="A136">
        <f t="shared" si="5"/>
        <v>87</v>
      </c>
      <c r="B136" t="s">
        <v>560</v>
      </c>
      <c r="C136" t="s">
        <v>561</v>
      </c>
      <c r="D136" s="47" t="s">
        <v>574</v>
      </c>
      <c r="E136" s="127" t="s">
        <v>663</v>
      </c>
      <c r="F136" t="s">
        <v>576</v>
      </c>
      <c r="G136" t="s">
        <v>565</v>
      </c>
      <c r="H136" t="s">
        <v>577</v>
      </c>
      <c r="I136" t="s">
        <v>578</v>
      </c>
      <c r="J136" t="s">
        <v>579</v>
      </c>
      <c r="L136" s="125">
        <v>44562</v>
      </c>
      <c r="M136" s="125">
        <v>44926</v>
      </c>
      <c r="N136" s="126">
        <f t="shared" si="6"/>
        <v>44926</v>
      </c>
      <c r="Q136" t="s">
        <v>566</v>
      </c>
      <c r="R136" t="s">
        <v>567</v>
      </c>
      <c r="S136" t="s">
        <v>568</v>
      </c>
      <c r="T136" t="s">
        <v>569</v>
      </c>
    </row>
    <row r="137" spans="1:20" ht="15.75" hidden="1" outlineLevel="1" x14ac:dyDescent="0.25">
      <c r="A137">
        <f t="shared" si="5"/>
        <v>88</v>
      </c>
      <c r="B137" t="s">
        <v>560</v>
      </c>
      <c r="C137" t="s">
        <v>561</v>
      </c>
      <c r="D137" s="47" t="s">
        <v>574</v>
      </c>
      <c r="E137" s="127" t="s">
        <v>664</v>
      </c>
      <c r="F137" t="s">
        <v>576</v>
      </c>
      <c r="G137" t="s">
        <v>565</v>
      </c>
      <c r="H137" t="s">
        <v>577</v>
      </c>
      <c r="I137" t="s">
        <v>578</v>
      </c>
      <c r="J137" t="s">
        <v>579</v>
      </c>
      <c r="L137" s="125">
        <v>44562</v>
      </c>
      <c r="M137" s="125">
        <v>44926</v>
      </c>
      <c r="N137" s="126">
        <f t="shared" si="6"/>
        <v>44926</v>
      </c>
      <c r="Q137" t="s">
        <v>566</v>
      </c>
      <c r="R137" t="s">
        <v>567</v>
      </c>
      <c r="S137" t="s">
        <v>568</v>
      </c>
      <c r="T137" t="s">
        <v>569</v>
      </c>
    </row>
    <row r="138" spans="1:20" ht="15.75" hidden="1" outlineLevel="1" x14ac:dyDescent="0.25">
      <c r="A138">
        <f t="shared" si="5"/>
        <v>89</v>
      </c>
      <c r="B138" t="s">
        <v>560</v>
      </c>
      <c r="C138" t="s">
        <v>561</v>
      </c>
      <c r="D138" s="47" t="s">
        <v>574</v>
      </c>
      <c r="E138" s="127" t="s">
        <v>665</v>
      </c>
      <c r="F138" t="s">
        <v>576</v>
      </c>
      <c r="G138" t="s">
        <v>565</v>
      </c>
      <c r="H138" t="s">
        <v>577</v>
      </c>
      <c r="I138" t="s">
        <v>578</v>
      </c>
      <c r="J138" t="s">
        <v>579</v>
      </c>
      <c r="L138" s="125">
        <v>44562</v>
      </c>
      <c r="M138" s="125">
        <v>44926</v>
      </c>
      <c r="N138" s="126">
        <f t="shared" si="6"/>
        <v>44926</v>
      </c>
      <c r="Q138" t="s">
        <v>566</v>
      </c>
      <c r="R138" t="s">
        <v>567</v>
      </c>
      <c r="S138" t="s">
        <v>568</v>
      </c>
      <c r="T138" t="s">
        <v>569</v>
      </c>
    </row>
    <row r="139" spans="1:20" ht="15.75" hidden="1" outlineLevel="1" x14ac:dyDescent="0.25">
      <c r="A139">
        <f t="shared" si="5"/>
        <v>90</v>
      </c>
      <c r="B139" t="s">
        <v>560</v>
      </c>
      <c r="C139" t="s">
        <v>561</v>
      </c>
      <c r="D139" s="47" t="s">
        <v>666</v>
      </c>
      <c r="E139" s="127" t="s">
        <v>575</v>
      </c>
      <c r="F139" t="s">
        <v>576</v>
      </c>
      <c r="G139" t="s">
        <v>565</v>
      </c>
      <c r="H139" t="s">
        <v>577</v>
      </c>
      <c r="I139" t="s">
        <v>578</v>
      </c>
      <c r="J139" t="s">
        <v>579</v>
      </c>
      <c r="L139" s="125">
        <f>M139-364</f>
        <v>44546</v>
      </c>
      <c r="M139" s="125">
        <v>44910</v>
      </c>
      <c r="N139" s="126">
        <f t="shared" si="6"/>
        <v>44910</v>
      </c>
      <c r="Q139" t="s">
        <v>566</v>
      </c>
      <c r="R139" t="s">
        <v>567</v>
      </c>
      <c r="S139" t="s">
        <v>667</v>
      </c>
      <c r="T139" t="s">
        <v>568</v>
      </c>
    </row>
    <row r="140" spans="1:20" ht="15.75" hidden="1" outlineLevel="1" x14ac:dyDescent="0.25">
      <c r="A140">
        <f t="shared" si="5"/>
        <v>91</v>
      </c>
      <c r="B140" t="s">
        <v>560</v>
      </c>
      <c r="C140" t="s">
        <v>561</v>
      </c>
      <c r="D140" s="47" t="s">
        <v>666</v>
      </c>
      <c r="E140" s="127" t="s">
        <v>580</v>
      </c>
      <c r="F140" t="s">
        <v>576</v>
      </c>
      <c r="G140" t="s">
        <v>565</v>
      </c>
      <c r="H140" t="s">
        <v>577</v>
      </c>
      <c r="I140" t="s">
        <v>578</v>
      </c>
      <c r="J140" t="s">
        <v>579</v>
      </c>
      <c r="L140" s="125">
        <f>M140-364</f>
        <v>44546</v>
      </c>
      <c r="M140" s="125">
        <v>44910</v>
      </c>
      <c r="N140" s="126">
        <f t="shared" si="6"/>
        <v>44910</v>
      </c>
      <c r="Q140" t="s">
        <v>566</v>
      </c>
      <c r="R140" t="s">
        <v>567</v>
      </c>
      <c r="S140" t="s">
        <v>667</v>
      </c>
      <c r="T140" t="s">
        <v>568</v>
      </c>
    </row>
    <row r="141" spans="1:20" ht="15.75" hidden="1" outlineLevel="1" x14ac:dyDescent="0.25">
      <c r="A141">
        <f t="shared" si="5"/>
        <v>92</v>
      </c>
      <c r="B141" t="s">
        <v>560</v>
      </c>
      <c r="C141" t="s">
        <v>561</v>
      </c>
      <c r="D141" s="47" t="s">
        <v>666</v>
      </c>
      <c r="E141" s="127" t="s">
        <v>581</v>
      </c>
      <c r="F141" t="s">
        <v>576</v>
      </c>
      <c r="G141" t="s">
        <v>565</v>
      </c>
      <c r="H141" t="s">
        <v>577</v>
      </c>
      <c r="I141" t="s">
        <v>578</v>
      </c>
      <c r="J141" t="s">
        <v>579</v>
      </c>
      <c r="L141" s="125">
        <f t="shared" ref="L141:L204" si="7">M141-364</f>
        <v>44546</v>
      </c>
      <c r="M141" s="125">
        <v>44910</v>
      </c>
      <c r="N141" s="126">
        <f t="shared" si="6"/>
        <v>44910</v>
      </c>
      <c r="Q141" t="s">
        <v>566</v>
      </c>
      <c r="R141" t="s">
        <v>567</v>
      </c>
      <c r="S141" t="s">
        <v>667</v>
      </c>
      <c r="T141" t="s">
        <v>568</v>
      </c>
    </row>
    <row r="142" spans="1:20" ht="15.75" hidden="1" outlineLevel="1" x14ac:dyDescent="0.25">
      <c r="A142">
        <f t="shared" si="5"/>
        <v>93</v>
      </c>
      <c r="B142" t="s">
        <v>560</v>
      </c>
      <c r="C142" t="s">
        <v>561</v>
      </c>
      <c r="D142" s="47" t="s">
        <v>666</v>
      </c>
      <c r="E142" s="127" t="s">
        <v>582</v>
      </c>
      <c r="F142" t="s">
        <v>576</v>
      </c>
      <c r="G142" t="s">
        <v>565</v>
      </c>
      <c r="H142" t="s">
        <v>577</v>
      </c>
      <c r="I142" t="s">
        <v>578</v>
      </c>
      <c r="J142" t="s">
        <v>579</v>
      </c>
      <c r="L142" s="125">
        <f t="shared" si="7"/>
        <v>44546</v>
      </c>
      <c r="M142" s="125">
        <v>44910</v>
      </c>
      <c r="N142" s="126">
        <f t="shared" si="6"/>
        <v>44910</v>
      </c>
      <c r="Q142" t="s">
        <v>566</v>
      </c>
      <c r="R142" t="s">
        <v>567</v>
      </c>
      <c r="S142" t="s">
        <v>667</v>
      </c>
      <c r="T142" t="s">
        <v>568</v>
      </c>
    </row>
    <row r="143" spans="1:20" ht="15.75" hidden="1" outlineLevel="1" x14ac:dyDescent="0.25">
      <c r="A143">
        <f t="shared" si="5"/>
        <v>94</v>
      </c>
      <c r="B143" t="s">
        <v>560</v>
      </c>
      <c r="C143" t="s">
        <v>561</v>
      </c>
      <c r="D143" s="47" t="s">
        <v>666</v>
      </c>
      <c r="E143" s="127" t="s">
        <v>583</v>
      </c>
      <c r="F143" t="s">
        <v>576</v>
      </c>
      <c r="G143" t="s">
        <v>565</v>
      </c>
      <c r="H143" t="s">
        <v>577</v>
      </c>
      <c r="I143" t="s">
        <v>578</v>
      </c>
      <c r="J143" t="s">
        <v>579</v>
      </c>
      <c r="L143" s="125">
        <f t="shared" si="7"/>
        <v>44546</v>
      </c>
      <c r="M143" s="125">
        <v>44910</v>
      </c>
      <c r="N143" s="126">
        <f t="shared" si="6"/>
        <v>44910</v>
      </c>
      <c r="Q143" t="s">
        <v>566</v>
      </c>
      <c r="R143" t="s">
        <v>567</v>
      </c>
      <c r="S143" t="s">
        <v>667</v>
      </c>
      <c r="T143" t="s">
        <v>568</v>
      </c>
    </row>
    <row r="144" spans="1:20" ht="15.75" hidden="1" outlineLevel="1" x14ac:dyDescent="0.25">
      <c r="A144">
        <f t="shared" si="5"/>
        <v>95</v>
      </c>
      <c r="B144" t="s">
        <v>560</v>
      </c>
      <c r="C144" t="s">
        <v>561</v>
      </c>
      <c r="D144" s="47" t="s">
        <v>666</v>
      </c>
      <c r="E144" s="127" t="s">
        <v>584</v>
      </c>
      <c r="F144" t="s">
        <v>576</v>
      </c>
      <c r="G144" t="s">
        <v>565</v>
      </c>
      <c r="H144" t="s">
        <v>577</v>
      </c>
      <c r="I144" t="s">
        <v>578</v>
      </c>
      <c r="J144" t="s">
        <v>579</v>
      </c>
      <c r="L144" s="125">
        <f t="shared" si="7"/>
        <v>44546</v>
      </c>
      <c r="M144" s="125">
        <v>44910</v>
      </c>
      <c r="N144" s="126">
        <f t="shared" si="6"/>
        <v>44910</v>
      </c>
      <c r="Q144" t="s">
        <v>566</v>
      </c>
      <c r="R144" t="s">
        <v>567</v>
      </c>
      <c r="S144" t="s">
        <v>667</v>
      </c>
      <c r="T144" t="s">
        <v>568</v>
      </c>
    </row>
    <row r="145" spans="1:20" ht="15.75" hidden="1" outlineLevel="1" x14ac:dyDescent="0.25">
      <c r="A145">
        <f t="shared" si="5"/>
        <v>96</v>
      </c>
      <c r="B145" t="s">
        <v>560</v>
      </c>
      <c r="C145" t="s">
        <v>561</v>
      </c>
      <c r="D145" s="47" t="s">
        <v>666</v>
      </c>
      <c r="E145" s="127" t="s">
        <v>585</v>
      </c>
      <c r="F145" t="s">
        <v>576</v>
      </c>
      <c r="G145" t="s">
        <v>565</v>
      </c>
      <c r="H145" t="s">
        <v>577</v>
      </c>
      <c r="I145" t="s">
        <v>578</v>
      </c>
      <c r="J145" t="s">
        <v>579</v>
      </c>
      <c r="L145" s="125">
        <f t="shared" si="7"/>
        <v>44546</v>
      </c>
      <c r="M145" s="125">
        <v>44910</v>
      </c>
      <c r="N145" s="126">
        <f t="shared" si="6"/>
        <v>44910</v>
      </c>
      <c r="Q145" t="s">
        <v>566</v>
      </c>
      <c r="R145" t="s">
        <v>567</v>
      </c>
      <c r="S145" t="s">
        <v>667</v>
      </c>
      <c r="T145" t="s">
        <v>568</v>
      </c>
    </row>
    <row r="146" spans="1:20" ht="15.75" hidden="1" outlineLevel="1" x14ac:dyDescent="0.25">
      <c r="A146">
        <f t="shared" si="5"/>
        <v>97</v>
      </c>
      <c r="B146" t="s">
        <v>560</v>
      </c>
      <c r="C146" t="s">
        <v>561</v>
      </c>
      <c r="D146" s="47" t="s">
        <v>666</v>
      </c>
      <c r="E146" s="127" t="s">
        <v>586</v>
      </c>
      <c r="F146" t="s">
        <v>576</v>
      </c>
      <c r="G146" t="s">
        <v>565</v>
      </c>
      <c r="H146" t="s">
        <v>577</v>
      </c>
      <c r="I146" t="s">
        <v>578</v>
      </c>
      <c r="J146" t="s">
        <v>579</v>
      </c>
      <c r="L146" s="125">
        <f t="shared" si="7"/>
        <v>44546</v>
      </c>
      <c r="M146" s="125">
        <v>44910</v>
      </c>
      <c r="N146" s="126">
        <f t="shared" si="6"/>
        <v>44910</v>
      </c>
      <c r="Q146" t="s">
        <v>566</v>
      </c>
      <c r="R146" t="s">
        <v>567</v>
      </c>
      <c r="S146" t="s">
        <v>667</v>
      </c>
      <c r="T146" t="s">
        <v>568</v>
      </c>
    </row>
    <row r="147" spans="1:20" ht="15.75" hidden="1" outlineLevel="1" x14ac:dyDescent="0.25">
      <c r="A147">
        <f t="shared" si="5"/>
        <v>98</v>
      </c>
      <c r="B147" t="s">
        <v>560</v>
      </c>
      <c r="C147" t="s">
        <v>561</v>
      </c>
      <c r="D147" s="47" t="s">
        <v>666</v>
      </c>
      <c r="E147" s="127" t="s">
        <v>587</v>
      </c>
      <c r="F147" t="s">
        <v>576</v>
      </c>
      <c r="G147" t="s">
        <v>565</v>
      </c>
      <c r="H147" t="s">
        <v>577</v>
      </c>
      <c r="I147" t="s">
        <v>578</v>
      </c>
      <c r="J147" t="s">
        <v>579</v>
      </c>
      <c r="L147" s="125">
        <f t="shared" si="7"/>
        <v>44546</v>
      </c>
      <c r="M147" s="125">
        <v>44910</v>
      </c>
      <c r="N147" s="126">
        <f t="shared" si="6"/>
        <v>44910</v>
      </c>
      <c r="Q147" t="s">
        <v>566</v>
      </c>
      <c r="R147" t="s">
        <v>567</v>
      </c>
      <c r="S147" t="s">
        <v>667</v>
      </c>
      <c r="T147" t="s">
        <v>568</v>
      </c>
    </row>
    <row r="148" spans="1:20" ht="15.75" hidden="1" outlineLevel="1" x14ac:dyDescent="0.25">
      <c r="A148">
        <f t="shared" si="5"/>
        <v>99</v>
      </c>
      <c r="B148" t="s">
        <v>560</v>
      </c>
      <c r="C148" t="s">
        <v>561</v>
      </c>
      <c r="D148" s="47" t="s">
        <v>666</v>
      </c>
      <c r="E148" s="127" t="s">
        <v>588</v>
      </c>
      <c r="F148" t="s">
        <v>576</v>
      </c>
      <c r="G148" t="s">
        <v>565</v>
      </c>
      <c r="H148" t="s">
        <v>577</v>
      </c>
      <c r="I148" t="s">
        <v>578</v>
      </c>
      <c r="J148" t="s">
        <v>579</v>
      </c>
      <c r="L148" s="125">
        <f t="shared" si="7"/>
        <v>44546</v>
      </c>
      <c r="M148" s="125">
        <v>44910</v>
      </c>
      <c r="N148" s="126">
        <f t="shared" si="6"/>
        <v>44910</v>
      </c>
      <c r="Q148" t="s">
        <v>566</v>
      </c>
      <c r="R148" t="s">
        <v>567</v>
      </c>
      <c r="S148" t="s">
        <v>667</v>
      </c>
      <c r="T148" t="s">
        <v>568</v>
      </c>
    </row>
    <row r="149" spans="1:20" ht="15.75" hidden="1" outlineLevel="1" x14ac:dyDescent="0.25">
      <c r="A149">
        <f t="shared" si="5"/>
        <v>100</v>
      </c>
      <c r="B149" t="s">
        <v>560</v>
      </c>
      <c r="C149" t="s">
        <v>561</v>
      </c>
      <c r="D149" s="47" t="s">
        <v>666</v>
      </c>
      <c r="E149" s="127" t="s">
        <v>589</v>
      </c>
      <c r="F149" t="s">
        <v>576</v>
      </c>
      <c r="G149" t="s">
        <v>565</v>
      </c>
      <c r="H149" t="s">
        <v>577</v>
      </c>
      <c r="I149" t="s">
        <v>578</v>
      </c>
      <c r="J149" t="s">
        <v>579</v>
      </c>
      <c r="L149" s="125">
        <f t="shared" si="7"/>
        <v>44546</v>
      </c>
      <c r="M149" s="125">
        <v>44910</v>
      </c>
      <c r="N149" s="126">
        <f t="shared" si="6"/>
        <v>44910</v>
      </c>
      <c r="Q149" t="s">
        <v>566</v>
      </c>
      <c r="R149" t="s">
        <v>567</v>
      </c>
      <c r="S149" t="s">
        <v>667</v>
      </c>
      <c r="T149" t="s">
        <v>568</v>
      </c>
    </row>
    <row r="150" spans="1:20" ht="15.75" hidden="1" outlineLevel="1" x14ac:dyDescent="0.25">
      <c r="A150">
        <f t="shared" si="5"/>
        <v>101</v>
      </c>
      <c r="B150" t="s">
        <v>560</v>
      </c>
      <c r="C150" t="s">
        <v>561</v>
      </c>
      <c r="D150" s="47" t="s">
        <v>666</v>
      </c>
      <c r="E150" s="127" t="s">
        <v>590</v>
      </c>
      <c r="F150" t="s">
        <v>576</v>
      </c>
      <c r="G150" t="s">
        <v>565</v>
      </c>
      <c r="H150" t="s">
        <v>577</v>
      </c>
      <c r="I150" t="s">
        <v>578</v>
      </c>
      <c r="J150" t="s">
        <v>579</v>
      </c>
      <c r="L150" s="125">
        <f t="shared" si="7"/>
        <v>44547</v>
      </c>
      <c r="M150" s="125">
        <v>44911</v>
      </c>
      <c r="N150" s="126">
        <f t="shared" si="6"/>
        <v>44911</v>
      </c>
      <c r="Q150" t="s">
        <v>566</v>
      </c>
      <c r="R150" t="s">
        <v>567</v>
      </c>
      <c r="S150" t="s">
        <v>667</v>
      </c>
      <c r="T150" t="s">
        <v>568</v>
      </c>
    </row>
    <row r="151" spans="1:20" ht="15.75" hidden="1" outlineLevel="1" x14ac:dyDescent="0.25">
      <c r="A151">
        <f t="shared" si="5"/>
        <v>102</v>
      </c>
      <c r="B151" t="s">
        <v>560</v>
      </c>
      <c r="C151" t="s">
        <v>561</v>
      </c>
      <c r="D151" s="47" t="s">
        <v>666</v>
      </c>
      <c r="E151" s="127" t="s">
        <v>591</v>
      </c>
      <c r="F151" t="s">
        <v>576</v>
      </c>
      <c r="G151" t="s">
        <v>565</v>
      </c>
      <c r="H151" t="s">
        <v>577</v>
      </c>
      <c r="I151" t="s">
        <v>578</v>
      </c>
      <c r="J151" t="s">
        <v>579</v>
      </c>
      <c r="L151" s="125">
        <f t="shared" si="7"/>
        <v>44547</v>
      </c>
      <c r="M151" s="125">
        <v>44911</v>
      </c>
      <c r="N151" s="126">
        <f t="shared" si="6"/>
        <v>44911</v>
      </c>
      <c r="Q151" t="s">
        <v>566</v>
      </c>
      <c r="R151" t="s">
        <v>567</v>
      </c>
      <c r="S151" t="s">
        <v>667</v>
      </c>
      <c r="T151" t="s">
        <v>568</v>
      </c>
    </row>
    <row r="152" spans="1:20" ht="15.75" hidden="1" outlineLevel="1" x14ac:dyDescent="0.25">
      <c r="A152">
        <f t="shared" si="5"/>
        <v>103</v>
      </c>
      <c r="B152" t="s">
        <v>560</v>
      </c>
      <c r="C152" t="s">
        <v>561</v>
      </c>
      <c r="D152" s="47" t="s">
        <v>666</v>
      </c>
      <c r="E152" s="127" t="s">
        <v>592</v>
      </c>
      <c r="F152" t="s">
        <v>576</v>
      </c>
      <c r="G152" t="s">
        <v>565</v>
      </c>
      <c r="H152" t="s">
        <v>577</v>
      </c>
      <c r="I152" t="s">
        <v>578</v>
      </c>
      <c r="J152" t="s">
        <v>579</v>
      </c>
      <c r="L152" s="125">
        <f t="shared" si="7"/>
        <v>44546</v>
      </c>
      <c r="M152" s="125">
        <v>44910</v>
      </c>
      <c r="N152" s="126">
        <f t="shared" si="6"/>
        <v>44910</v>
      </c>
      <c r="Q152" t="s">
        <v>566</v>
      </c>
      <c r="R152" t="s">
        <v>567</v>
      </c>
      <c r="S152" t="s">
        <v>667</v>
      </c>
      <c r="T152" t="s">
        <v>568</v>
      </c>
    </row>
    <row r="153" spans="1:20" ht="15.75" hidden="1" outlineLevel="1" x14ac:dyDescent="0.25">
      <c r="A153">
        <f t="shared" si="5"/>
        <v>104</v>
      </c>
      <c r="B153" t="s">
        <v>560</v>
      </c>
      <c r="C153" t="s">
        <v>561</v>
      </c>
      <c r="D153" s="47" t="s">
        <v>666</v>
      </c>
      <c r="E153" s="127" t="s">
        <v>593</v>
      </c>
      <c r="F153" t="s">
        <v>576</v>
      </c>
      <c r="G153" t="s">
        <v>565</v>
      </c>
      <c r="H153" t="s">
        <v>577</v>
      </c>
      <c r="I153" t="s">
        <v>578</v>
      </c>
      <c r="J153" t="s">
        <v>579</v>
      </c>
      <c r="L153" s="125">
        <f t="shared" si="7"/>
        <v>44546</v>
      </c>
      <c r="M153" s="125">
        <v>44910</v>
      </c>
      <c r="N153" s="126">
        <f t="shared" si="6"/>
        <v>44910</v>
      </c>
      <c r="Q153" t="s">
        <v>566</v>
      </c>
      <c r="R153" t="s">
        <v>567</v>
      </c>
      <c r="S153" t="s">
        <v>667</v>
      </c>
      <c r="T153" t="s">
        <v>568</v>
      </c>
    </row>
    <row r="154" spans="1:20" ht="15.75" hidden="1" outlineLevel="1" x14ac:dyDescent="0.25">
      <c r="A154">
        <f t="shared" si="5"/>
        <v>105</v>
      </c>
      <c r="B154" t="s">
        <v>560</v>
      </c>
      <c r="C154" t="s">
        <v>561</v>
      </c>
      <c r="D154" s="47" t="s">
        <v>666</v>
      </c>
      <c r="E154" s="127" t="s">
        <v>594</v>
      </c>
      <c r="F154" t="s">
        <v>576</v>
      </c>
      <c r="G154" t="s">
        <v>565</v>
      </c>
      <c r="H154" t="s">
        <v>577</v>
      </c>
      <c r="I154" t="s">
        <v>578</v>
      </c>
      <c r="J154" t="s">
        <v>579</v>
      </c>
      <c r="L154" s="125">
        <f t="shared" si="7"/>
        <v>44547</v>
      </c>
      <c r="M154" s="125">
        <v>44911</v>
      </c>
      <c r="N154" s="126">
        <f t="shared" si="6"/>
        <v>44911</v>
      </c>
      <c r="Q154" t="s">
        <v>566</v>
      </c>
      <c r="R154" t="s">
        <v>567</v>
      </c>
      <c r="S154" t="s">
        <v>667</v>
      </c>
      <c r="T154" t="s">
        <v>568</v>
      </c>
    </row>
    <row r="155" spans="1:20" ht="15.75" hidden="1" outlineLevel="1" x14ac:dyDescent="0.25">
      <c r="A155">
        <f t="shared" si="5"/>
        <v>106</v>
      </c>
      <c r="B155" t="s">
        <v>560</v>
      </c>
      <c r="C155" t="s">
        <v>561</v>
      </c>
      <c r="D155" s="47" t="s">
        <v>666</v>
      </c>
      <c r="E155" s="127" t="s">
        <v>595</v>
      </c>
      <c r="F155" t="s">
        <v>576</v>
      </c>
      <c r="G155" t="s">
        <v>565</v>
      </c>
      <c r="H155" t="s">
        <v>577</v>
      </c>
      <c r="I155" t="s">
        <v>578</v>
      </c>
      <c r="J155" t="s">
        <v>579</v>
      </c>
      <c r="L155" s="125">
        <f t="shared" si="7"/>
        <v>44547</v>
      </c>
      <c r="M155" s="125">
        <v>44911</v>
      </c>
      <c r="N155" s="126">
        <f t="shared" si="6"/>
        <v>44911</v>
      </c>
      <c r="Q155" t="s">
        <v>566</v>
      </c>
      <c r="R155" t="s">
        <v>567</v>
      </c>
      <c r="S155" t="s">
        <v>667</v>
      </c>
      <c r="T155" t="s">
        <v>568</v>
      </c>
    </row>
    <row r="156" spans="1:20" ht="15.75" hidden="1" outlineLevel="1" x14ac:dyDescent="0.25">
      <c r="A156">
        <f t="shared" si="5"/>
        <v>107</v>
      </c>
      <c r="B156" t="s">
        <v>560</v>
      </c>
      <c r="C156" t="s">
        <v>561</v>
      </c>
      <c r="D156" s="47" t="s">
        <v>666</v>
      </c>
      <c r="E156" s="127" t="s">
        <v>596</v>
      </c>
      <c r="F156" t="s">
        <v>576</v>
      </c>
      <c r="G156" t="s">
        <v>565</v>
      </c>
      <c r="H156" t="s">
        <v>577</v>
      </c>
      <c r="I156" t="s">
        <v>578</v>
      </c>
      <c r="J156" t="s">
        <v>579</v>
      </c>
      <c r="L156" s="125">
        <f t="shared" si="7"/>
        <v>44411</v>
      </c>
      <c r="M156" s="125">
        <v>44775</v>
      </c>
      <c r="N156" s="126">
        <f t="shared" si="6"/>
        <v>44775</v>
      </c>
      <c r="Q156" t="s">
        <v>566</v>
      </c>
      <c r="R156" t="s">
        <v>567</v>
      </c>
      <c r="S156" t="s">
        <v>667</v>
      </c>
      <c r="T156" t="s">
        <v>568</v>
      </c>
    </row>
    <row r="157" spans="1:20" ht="15.75" hidden="1" outlineLevel="1" x14ac:dyDescent="0.25">
      <c r="A157">
        <f t="shared" si="5"/>
        <v>108</v>
      </c>
      <c r="B157" t="s">
        <v>560</v>
      </c>
      <c r="C157" t="s">
        <v>561</v>
      </c>
      <c r="D157" s="47" t="s">
        <v>666</v>
      </c>
      <c r="E157" s="127" t="s">
        <v>597</v>
      </c>
      <c r="F157" t="s">
        <v>576</v>
      </c>
      <c r="G157" t="s">
        <v>565</v>
      </c>
      <c r="H157" t="s">
        <v>577</v>
      </c>
      <c r="I157" t="s">
        <v>578</v>
      </c>
      <c r="J157" t="s">
        <v>579</v>
      </c>
      <c r="L157" s="125">
        <f t="shared" si="7"/>
        <v>44411</v>
      </c>
      <c r="M157" s="125">
        <v>44775</v>
      </c>
      <c r="N157" s="126">
        <f t="shared" si="6"/>
        <v>44775</v>
      </c>
      <c r="Q157" t="s">
        <v>566</v>
      </c>
      <c r="R157" t="s">
        <v>567</v>
      </c>
      <c r="S157" t="s">
        <v>667</v>
      </c>
      <c r="T157" t="s">
        <v>568</v>
      </c>
    </row>
    <row r="158" spans="1:20" ht="15.75" hidden="1" outlineLevel="1" x14ac:dyDescent="0.25">
      <c r="A158">
        <f t="shared" si="5"/>
        <v>109</v>
      </c>
      <c r="B158" t="s">
        <v>560</v>
      </c>
      <c r="C158" t="s">
        <v>561</v>
      </c>
      <c r="D158" s="47" t="s">
        <v>666</v>
      </c>
      <c r="E158" s="127" t="s">
        <v>598</v>
      </c>
      <c r="F158" t="s">
        <v>576</v>
      </c>
      <c r="G158" t="s">
        <v>565</v>
      </c>
      <c r="H158" t="s">
        <v>577</v>
      </c>
      <c r="I158" t="s">
        <v>578</v>
      </c>
      <c r="J158" t="s">
        <v>579</v>
      </c>
      <c r="L158" s="125">
        <f t="shared" si="7"/>
        <v>44411</v>
      </c>
      <c r="M158" s="125">
        <v>44775</v>
      </c>
      <c r="N158" s="126">
        <f t="shared" si="6"/>
        <v>44775</v>
      </c>
      <c r="Q158" t="s">
        <v>566</v>
      </c>
      <c r="R158" t="s">
        <v>567</v>
      </c>
      <c r="S158" t="s">
        <v>667</v>
      </c>
      <c r="T158" t="s">
        <v>568</v>
      </c>
    </row>
    <row r="159" spans="1:20" ht="15.75" hidden="1" outlineLevel="1" x14ac:dyDescent="0.25">
      <c r="A159">
        <f t="shared" si="5"/>
        <v>110</v>
      </c>
      <c r="B159" t="s">
        <v>560</v>
      </c>
      <c r="C159" t="s">
        <v>561</v>
      </c>
      <c r="D159" s="47" t="s">
        <v>666</v>
      </c>
      <c r="E159" s="127" t="s">
        <v>599</v>
      </c>
      <c r="F159" t="s">
        <v>576</v>
      </c>
      <c r="G159" t="s">
        <v>565</v>
      </c>
      <c r="H159" t="s">
        <v>577</v>
      </c>
      <c r="I159" t="s">
        <v>578</v>
      </c>
      <c r="J159" t="s">
        <v>579</v>
      </c>
      <c r="L159" s="125">
        <f t="shared" si="7"/>
        <v>44411</v>
      </c>
      <c r="M159" s="125">
        <v>44775</v>
      </c>
      <c r="N159" s="126">
        <f t="shared" si="6"/>
        <v>44775</v>
      </c>
      <c r="Q159" t="s">
        <v>566</v>
      </c>
      <c r="R159" t="s">
        <v>567</v>
      </c>
      <c r="S159" t="s">
        <v>667</v>
      </c>
      <c r="T159" t="s">
        <v>568</v>
      </c>
    </row>
    <row r="160" spans="1:20" ht="15.75" hidden="1" outlineLevel="1" x14ac:dyDescent="0.25">
      <c r="A160">
        <f t="shared" si="5"/>
        <v>111</v>
      </c>
      <c r="B160" t="s">
        <v>560</v>
      </c>
      <c r="C160" t="s">
        <v>561</v>
      </c>
      <c r="D160" s="47" t="s">
        <v>666</v>
      </c>
      <c r="E160" s="127" t="s">
        <v>600</v>
      </c>
      <c r="F160" t="s">
        <v>576</v>
      </c>
      <c r="G160" t="s">
        <v>565</v>
      </c>
      <c r="H160" t="s">
        <v>577</v>
      </c>
      <c r="I160" t="s">
        <v>578</v>
      </c>
      <c r="J160" t="s">
        <v>579</v>
      </c>
      <c r="L160" s="125">
        <f t="shared" si="7"/>
        <v>44547</v>
      </c>
      <c r="M160" s="125">
        <v>44911</v>
      </c>
      <c r="N160" s="126">
        <f t="shared" si="6"/>
        <v>44911</v>
      </c>
      <c r="Q160" t="s">
        <v>566</v>
      </c>
      <c r="R160" t="s">
        <v>567</v>
      </c>
      <c r="S160" t="s">
        <v>667</v>
      </c>
      <c r="T160" t="s">
        <v>568</v>
      </c>
    </row>
    <row r="161" spans="1:20" ht="15.75" hidden="1" outlineLevel="1" x14ac:dyDescent="0.25">
      <c r="A161">
        <f t="shared" si="5"/>
        <v>112</v>
      </c>
      <c r="B161" t="s">
        <v>560</v>
      </c>
      <c r="C161" t="s">
        <v>561</v>
      </c>
      <c r="D161" s="47" t="s">
        <v>666</v>
      </c>
      <c r="E161" s="127" t="s">
        <v>601</v>
      </c>
      <c r="F161" t="s">
        <v>576</v>
      </c>
      <c r="G161" t="s">
        <v>565</v>
      </c>
      <c r="H161" t="s">
        <v>577</v>
      </c>
      <c r="I161" t="s">
        <v>578</v>
      </c>
      <c r="J161" t="s">
        <v>579</v>
      </c>
      <c r="L161" s="125">
        <f t="shared" si="7"/>
        <v>44547</v>
      </c>
      <c r="M161" s="125">
        <v>44911</v>
      </c>
      <c r="N161" s="126">
        <f t="shared" si="6"/>
        <v>44911</v>
      </c>
      <c r="Q161" t="s">
        <v>566</v>
      </c>
      <c r="R161" t="s">
        <v>567</v>
      </c>
      <c r="S161" t="s">
        <v>667</v>
      </c>
      <c r="T161" t="s">
        <v>568</v>
      </c>
    </row>
    <row r="162" spans="1:20" ht="15.75" hidden="1" outlineLevel="1" x14ac:dyDescent="0.25">
      <c r="A162">
        <f t="shared" si="5"/>
        <v>113</v>
      </c>
      <c r="B162" t="s">
        <v>560</v>
      </c>
      <c r="C162" t="s">
        <v>561</v>
      </c>
      <c r="D162" s="47" t="s">
        <v>666</v>
      </c>
      <c r="E162" s="127" t="s">
        <v>602</v>
      </c>
      <c r="F162" t="s">
        <v>576</v>
      </c>
      <c r="G162" t="s">
        <v>565</v>
      </c>
      <c r="H162" t="s">
        <v>577</v>
      </c>
      <c r="I162" t="s">
        <v>578</v>
      </c>
      <c r="J162" t="s">
        <v>579</v>
      </c>
      <c r="L162" s="125">
        <f t="shared" si="7"/>
        <v>44547</v>
      </c>
      <c r="M162" s="125">
        <v>44911</v>
      </c>
      <c r="N162" s="126">
        <f t="shared" si="6"/>
        <v>44911</v>
      </c>
      <c r="Q162" t="s">
        <v>566</v>
      </c>
      <c r="R162" t="s">
        <v>567</v>
      </c>
      <c r="S162" t="s">
        <v>667</v>
      </c>
      <c r="T162" t="s">
        <v>568</v>
      </c>
    </row>
    <row r="163" spans="1:20" ht="15.75" hidden="1" outlineLevel="1" x14ac:dyDescent="0.25">
      <c r="A163">
        <f t="shared" si="5"/>
        <v>114</v>
      </c>
      <c r="B163" t="s">
        <v>560</v>
      </c>
      <c r="C163" t="s">
        <v>561</v>
      </c>
      <c r="D163" s="47" t="s">
        <v>666</v>
      </c>
      <c r="E163" s="127" t="s">
        <v>603</v>
      </c>
      <c r="F163" t="s">
        <v>576</v>
      </c>
      <c r="G163" t="s">
        <v>565</v>
      </c>
      <c r="H163" t="s">
        <v>577</v>
      </c>
      <c r="I163" t="s">
        <v>578</v>
      </c>
      <c r="J163" t="s">
        <v>579</v>
      </c>
      <c r="L163" s="125">
        <f t="shared" si="7"/>
        <v>44547</v>
      </c>
      <c r="M163" s="125">
        <v>44911</v>
      </c>
      <c r="N163" s="126">
        <f t="shared" si="6"/>
        <v>44911</v>
      </c>
      <c r="Q163" t="s">
        <v>566</v>
      </c>
      <c r="R163" t="s">
        <v>567</v>
      </c>
      <c r="S163" t="s">
        <v>667</v>
      </c>
      <c r="T163" t="s">
        <v>568</v>
      </c>
    </row>
    <row r="164" spans="1:20" ht="15.75" hidden="1" outlineLevel="1" x14ac:dyDescent="0.25">
      <c r="A164">
        <f t="shared" si="5"/>
        <v>115</v>
      </c>
      <c r="B164" t="s">
        <v>560</v>
      </c>
      <c r="C164" t="s">
        <v>561</v>
      </c>
      <c r="D164" s="47" t="s">
        <v>666</v>
      </c>
      <c r="E164" s="127" t="s">
        <v>604</v>
      </c>
      <c r="F164" t="s">
        <v>576</v>
      </c>
      <c r="G164" t="s">
        <v>565</v>
      </c>
      <c r="H164" t="s">
        <v>577</v>
      </c>
      <c r="I164" t="s">
        <v>578</v>
      </c>
      <c r="J164" t="s">
        <v>579</v>
      </c>
      <c r="L164" s="125">
        <f t="shared" si="7"/>
        <v>44547</v>
      </c>
      <c r="M164" s="125">
        <v>44911</v>
      </c>
      <c r="N164" s="126">
        <f t="shared" si="6"/>
        <v>44911</v>
      </c>
      <c r="Q164" t="s">
        <v>566</v>
      </c>
      <c r="R164" t="s">
        <v>567</v>
      </c>
      <c r="S164" t="s">
        <v>667</v>
      </c>
      <c r="T164" t="s">
        <v>568</v>
      </c>
    </row>
    <row r="165" spans="1:20" ht="15.75" hidden="1" outlineLevel="1" x14ac:dyDescent="0.25">
      <c r="A165">
        <f t="shared" si="5"/>
        <v>116</v>
      </c>
      <c r="B165" t="s">
        <v>560</v>
      </c>
      <c r="C165" t="s">
        <v>561</v>
      </c>
      <c r="D165" s="47" t="s">
        <v>666</v>
      </c>
      <c r="E165" s="127" t="s">
        <v>605</v>
      </c>
      <c r="F165" t="s">
        <v>576</v>
      </c>
      <c r="G165" t="s">
        <v>565</v>
      </c>
      <c r="H165" t="s">
        <v>577</v>
      </c>
      <c r="I165" t="s">
        <v>578</v>
      </c>
      <c r="J165" t="s">
        <v>579</v>
      </c>
      <c r="L165" s="125">
        <f t="shared" si="7"/>
        <v>44547</v>
      </c>
      <c r="M165" s="125">
        <v>44911</v>
      </c>
      <c r="N165" s="126">
        <f t="shared" si="6"/>
        <v>44911</v>
      </c>
      <c r="Q165" t="s">
        <v>566</v>
      </c>
      <c r="R165" t="s">
        <v>567</v>
      </c>
      <c r="S165" t="s">
        <v>667</v>
      </c>
      <c r="T165" t="s">
        <v>568</v>
      </c>
    </row>
    <row r="166" spans="1:20" ht="15.75" hidden="1" outlineLevel="1" x14ac:dyDescent="0.25">
      <c r="A166">
        <f t="shared" si="5"/>
        <v>117</v>
      </c>
      <c r="B166" t="s">
        <v>560</v>
      </c>
      <c r="C166" t="s">
        <v>561</v>
      </c>
      <c r="D166" s="47" t="s">
        <v>666</v>
      </c>
      <c r="E166" s="127" t="s">
        <v>606</v>
      </c>
      <c r="F166" t="s">
        <v>576</v>
      </c>
      <c r="G166" t="s">
        <v>565</v>
      </c>
      <c r="H166" t="s">
        <v>577</v>
      </c>
      <c r="I166" t="s">
        <v>578</v>
      </c>
      <c r="J166" t="s">
        <v>579</v>
      </c>
      <c r="L166" s="125">
        <f t="shared" si="7"/>
        <v>44547</v>
      </c>
      <c r="M166" s="125">
        <v>44911</v>
      </c>
      <c r="N166" s="126">
        <f t="shared" si="6"/>
        <v>44911</v>
      </c>
      <c r="Q166" t="s">
        <v>566</v>
      </c>
      <c r="R166" t="s">
        <v>567</v>
      </c>
      <c r="S166" t="s">
        <v>667</v>
      </c>
      <c r="T166" t="s">
        <v>568</v>
      </c>
    </row>
    <row r="167" spans="1:20" ht="15.75" hidden="1" outlineLevel="1" x14ac:dyDescent="0.25">
      <c r="A167">
        <f t="shared" si="5"/>
        <v>118</v>
      </c>
      <c r="B167" t="s">
        <v>560</v>
      </c>
      <c r="C167" t="s">
        <v>561</v>
      </c>
      <c r="D167" s="47" t="s">
        <v>666</v>
      </c>
      <c r="E167" s="127" t="s">
        <v>607</v>
      </c>
      <c r="F167" t="s">
        <v>576</v>
      </c>
      <c r="G167" t="s">
        <v>565</v>
      </c>
      <c r="H167" t="s">
        <v>577</v>
      </c>
      <c r="I167" t="s">
        <v>578</v>
      </c>
      <c r="J167" t="s">
        <v>579</v>
      </c>
      <c r="L167" s="125">
        <f t="shared" si="7"/>
        <v>44547</v>
      </c>
      <c r="M167" s="125">
        <v>44911</v>
      </c>
      <c r="N167" s="126">
        <f t="shared" si="6"/>
        <v>44911</v>
      </c>
      <c r="Q167" t="s">
        <v>566</v>
      </c>
      <c r="R167" t="s">
        <v>567</v>
      </c>
      <c r="S167" t="s">
        <v>667</v>
      </c>
      <c r="T167" t="s">
        <v>568</v>
      </c>
    </row>
    <row r="168" spans="1:20" ht="15.75" hidden="1" outlineLevel="1" x14ac:dyDescent="0.25">
      <c r="A168">
        <f t="shared" si="5"/>
        <v>119</v>
      </c>
      <c r="B168" t="s">
        <v>560</v>
      </c>
      <c r="C168" t="s">
        <v>561</v>
      </c>
      <c r="D168" s="47" t="s">
        <v>666</v>
      </c>
      <c r="E168" s="127" t="s">
        <v>608</v>
      </c>
      <c r="F168" t="s">
        <v>576</v>
      </c>
      <c r="G168" t="s">
        <v>565</v>
      </c>
      <c r="H168" t="s">
        <v>577</v>
      </c>
      <c r="I168" t="s">
        <v>578</v>
      </c>
      <c r="J168" t="s">
        <v>579</v>
      </c>
      <c r="L168" s="125">
        <f t="shared" si="7"/>
        <v>44547</v>
      </c>
      <c r="M168" s="125">
        <v>44911</v>
      </c>
      <c r="N168" s="126">
        <f t="shared" si="6"/>
        <v>44911</v>
      </c>
      <c r="Q168" t="s">
        <v>566</v>
      </c>
      <c r="R168" t="s">
        <v>567</v>
      </c>
      <c r="S168" t="s">
        <v>667</v>
      </c>
      <c r="T168" t="s">
        <v>568</v>
      </c>
    </row>
    <row r="169" spans="1:20" ht="15.75" hidden="1" outlineLevel="1" x14ac:dyDescent="0.25">
      <c r="A169">
        <f t="shared" si="5"/>
        <v>120</v>
      </c>
      <c r="B169" t="s">
        <v>560</v>
      </c>
      <c r="C169" t="s">
        <v>561</v>
      </c>
      <c r="D169" s="47" t="s">
        <v>666</v>
      </c>
      <c r="E169" s="127" t="s">
        <v>609</v>
      </c>
      <c r="F169" t="s">
        <v>576</v>
      </c>
      <c r="G169" t="s">
        <v>565</v>
      </c>
      <c r="H169" t="s">
        <v>577</v>
      </c>
      <c r="I169" t="s">
        <v>578</v>
      </c>
      <c r="J169" t="s">
        <v>579</v>
      </c>
      <c r="L169" s="125">
        <f t="shared" si="7"/>
        <v>44547</v>
      </c>
      <c r="M169" s="125">
        <v>44911</v>
      </c>
      <c r="N169" s="126">
        <f t="shared" si="6"/>
        <v>44911</v>
      </c>
      <c r="Q169" t="s">
        <v>566</v>
      </c>
      <c r="R169" t="s">
        <v>567</v>
      </c>
      <c r="S169" t="s">
        <v>667</v>
      </c>
      <c r="T169" t="s">
        <v>568</v>
      </c>
    </row>
    <row r="170" spans="1:20" ht="15.75" hidden="1" outlineLevel="1" x14ac:dyDescent="0.25">
      <c r="A170">
        <f t="shared" si="5"/>
        <v>121</v>
      </c>
      <c r="B170" t="s">
        <v>560</v>
      </c>
      <c r="C170" t="s">
        <v>561</v>
      </c>
      <c r="D170" s="47" t="s">
        <v>666</v>
      </c>
      <c r="E170" s="127" t="s">
        <v>610</v>
      </c>
      <c r="F170" t="s">
        <v>576</v>
      </c>
      <c r="G170" t="s">
        <v>565</v>
      </c>
      <c r="H170" t="s">
        <v>577</v>
      </c>
      <c r="I170" t="s">
        <v>578</v>
      </c>
      <c r="J170" t="s">
        <v>579</v>
      </c>
      <c r="L170" s="125">
        <f t="shared" si="7"/>
        <v>44547</v>
      </c>
      <c r="M170" s="125">
        <v>44911</v>
      </c>
      <c r="N170" s="126">
        <f t="shared" si="6"/>
        <v>44911</v>
      </c>
      <c r="Q170" t="s">
        <v>566</v>
      </c>
      <c r="R170" t="s">
        <v>567</v>
      </c>
      <c r="S170" t="s">
        <v>667</v>
      </c>
      <c r="T170" t="s">
        <v>568</v>
      </c>
    </row>
    <row r="171" spans="1:20" ht="15.75" hidden="1" outlineLevel="1" x14ac:dyDescent="0.25">
      <c r="A171">
        <f t="shared" si="5"/>
        <v>122</v>
      </c>
      <c r="B171" t="s">
        <v>560</v>
      </c>
      <c r="C171" t="s">
        <v>561</v>
      </c>
      <c r="D171" s="47" t="s">
        <v>666</v>
      </c>
      <c r="E171" s="127" t="s">
        <v>611</v>
      </c>
      <c r="F171" t="s">
        <v>576</v>
      </c>
      <c r="G171" t="s">
        <v>565</v>
      </c>
      <c r="H171" t="s">
        <v>577</v>
      </c>
      <c r="I171" t="s">
        <v>578</v>
      </c>
      <c r="J171" t="s">
        <v>579</v>
      </c>
      <c r="L171" s="125">
        <f t="shared" si="7"/>
        <v>44547</v>
      </c>
      <c r="M171" s="125">
        <v>44911</v>
      </c>
      <c r="N171" s="126">
        <f t="shared" si="6"/>
        <v>44911</v>
      </c>
      <c r="Q171" t="s">
        <v>566</v>
      </c>
      <c r="R171" t="s">
        <v>567</v>
      </c>
      <c r="S171" t="s">
        <v>667</v>
      </c>
      <c r="T171" t="s">
        <v>568</v>
      </c>
    </row>
    <row r="172" spans="1:20" ht="15.75" hidden="1" outlineLevel="1" x14ac:dyDescent="0.25">
      <c r="A172">
        <f t="shared" si="5"/>
        <v>123</v>
      </c>
      <c r="B172" t="s">
        <v>560</v>
      </c>
      <c r="C172" t="s">
        <v>561</v>
      </c>
      <c r="D172" s="47" t="s">
        <v>666</v>
      </c>
      <c r="E172" s="127" t="s">
        <v>612</v>
      </c>
      <c r="F172" t="s">
        <v>576</v>
      </c>
      <c r="G172" t="s">
        <v>565</v>
      </c>
      <c r="H172" t="s">
        <v>577</v>
      </c>
      <c r="I172" t="s">
        <v>578</v>
      </c>
      <c r="J172" t="s">
        <v>579</v>
      </c>
      <c r="L172" s="125">
        <f t="shared" si="7"/>
        <v>44547</v>
      </c>
      <c r="M172" s="125">
        <v>44911</v>
      </c>
      <c r="N172" s="126">
        <f t="shared" si="6"/>
        <v>44911</v>
      </c>
      <c r="Q172" t="s">
        <v>566</v>
      </c>
      <c r="R172" t="s">
        <v>567</v>
      </c>
      <c r="S172" t="s">
        <v>667</v>
      </c>
      <c r="T172" t="s">
        <v>568</v>
      </c>
    </row>
    <row r="173" spans="1:20" ht="15.75" hidden="1" outlineLevel="1" x14ac:dyDescent="0.25">
      <c r="A173">
        <f t="shared" si="5"/>
        <v>124</v>
      </c>
      <c r="B173" t="s">
        <v>560</v>
      </c>
      <c r="C173" t="s">
        <v>561</v>
      </c>
      <c r="D173" s="47" t="s">
        <v>666</v>
      </c>
      <c r="E173" s="127" t="s">
        <v>613</v>
      </c>
      <c r="F173" t="s">
        <v>576</v>
      </c>
      <c r="G173" t="s">
        <v>565</v>
      </c>
      <c r="H173" t="s">
        <v>577</v>
      </c>
      <c r="I173" t="s">
        <v>578</v>
      </c>
      <c r="J173" t="s">
        <v>579</v>
      </c>
      <c r="L173" s="125">
        <f t="shared" si="7"/>
        <v>44480</v>
      </c>
      <c r="M173" s="125">
        <v>44844</v>
      </c>
      <c r="N173" s="126">
        <f t="shared" si="6"/>
        <v>44844</v>
      </c>
      <c r="Q173" t="s">
        <v>566</v>
      </c>
      <c r="R173" t="s">
        <v>567</v>
      </c>
      <c r="S173" t="s">
        <v>667</v>
      </c>
      <c r="T173" t="s">
        <v>568</v>
      </c>
    </row>
    <row r="174" spans="1:20" ht="15.75" hidden="1" outlineLevel="1" x14ac:dyDescent="0.25">
      <c r="A174">
        <f t="shared" si="5"/>
        <v>125</v>
      </c>
      <c r="B174" t="s">
        <v>560</v>
      </c>
      <c r="C174" t="s">
        <v>561</v>
      </c>
      <c r="D174" s="47" t="s">
        <v>666</v>
      </c>
      <c r="E174" s="127" t="s">
        <v>614</v>
      </c>
      <c r="F174" t="s">
        <v>576</v>
      </c>
      <c r="G174" t="s">
        <v>565</v>
      </c>
      <c r="H174" t="s">
        <v>577</v>
      </c>
      <c r="I174" t="s">
        <v>578</v>
      </c>
      <c r="J174" t="s">
        <v>579</v>
      </c>
      <c r="L174" s="125">
        <f t="shared" si="7"/>
        <v>44480</v>
      </c>
      <c r="M174" s="125">
        <v>44844</v>
      </c>
      <c r="N174" s="126">
        <f t="shared" si="6"/>
        <v>44844</v>
      </c>
      <c r="Q174" t="s">
        <v>566</v>
      </c>
      <c r="R174" t="s">
        <v>567</v>
      </c>
      <c r="S174" t="s">
        <v>667</v>
      </c>
      <c r="T174" t="s">
        <v>568</v>
      </c>
    </row>
    <row r="175" spans="1:20" ht="15.75" hidden="1" outlineLevel="1" x14ac:dyDescent="0.25">
      <c r="A175">
        <f t="shared" si="5"/>
        <v>126</v>
      </c>
      <c r="B175" t="s">
        <v>560</v>
      </c>
      <c r="C175" t="s">
        <v>561</v>
      </c>
      <c r="D175" s="47" t="s">
        <v>666</v>
      </c>
      <c r="E175" s="127" t="s">
        <v>615</v>
      </c>
      <c r="F175" t="s">
        <v>576</v>
      </c>
      <c r="G175" t="s">
        <v>565</v>
      </c>
      <c r="H175" t="s">
        <v>577</v>
      </c>
      <c r="I175" t="s">
        <v>578</v>
      </c>
      <c r="J175" t="s">
        <v>579</v>
      </c>
      <c r="L175" s="125">
        <f t="shared" si="7"/>
        <v>44547</v>
      </c>
      <c r="M175" s="125">
        <v>44911</v>
      </c>
      <c r="N175" s="126">
        <f t="shared" si="6"/>
        <v>44911</v>
      </c>
      <c r="Q175" t="s">
        <v>566</v>
      </c>
      <c r="R175" t="s">
        <v>567</v>
      </c>
      <c r="S175" t="s">
        <v>667</v>
      </c>
      <c r="T175" t="s">
        <v>568</v>
      </c>
    </row>
    <row r="176" spans="1:20" ht="15.75" hidden="1" outlineLevel="1" x14ac:dyDescent="0.25">
      <c r="A176">
        <f t="shared" si="5"/>
        <v>127</v>
      </c>
      <c r="B176" t="s">
        <v>560</v>
      </c>
      <c r="C176" t="s">
        <v>561</v>
      </c>
      <c r="D176" s="47" t="s">
        <v>666</v>
      </c>
      <c r="E176" s="127" t="s">
        <v>616</v>
      </c>
      <c r="F176" t="s">
        <v>576</v>
      </c>
      <c r="G176" t="s">
        <v>565</v>
      </c>
      <c r="H176" t="s">
        <v>577</v>
      </c>
      <c r="I176" t="s">
        <v>578</v>
      </c>
      <c r="J176" t="s">
        <v>579</v>
      </c>
      <c r="L176" s="125">
        <f t="shared" si="7"/>
        <v>44785</v>
      </c>
      <c r="M176" s="125">
        <v>45149</v>
      </c>
      <c r="N176" s="126">
        <f t="shared" si="6"/>
        <v>45149</v>
      </c>
      <c r="Q176" t="s">
        <v>566</v>
      </c>
      <c r="R176" t="s">
        <v>567</v>
      </c>
      <c r="S176" t="s">
        <v>667</v>
      </c>
      <c r="T176" t="s">
        <v>568</v>
      </c>
    </row>
    <row r="177" spans="1:20" ht="15.75" hidden="1" outlineLevel="1" x14ac:dyDescent="0.25">
      <c r="A177">
        <f t="shared" si="5"/>
        <v>128</v>
      </c>
      <c r="B177" t="s">
        <v>560</v>
      </c>
      <c r="C177" t="s">
        <v>561</v>
      </c>
      <c r="D177" s="47" t="s">
        <v>666</v>
      </c>
      <c r="E177" s="127" t="s">
        <v>617</v>
      </c>
      <c r="F177" t="s">
        <v>576</v>
      </c>
      <c r="G177" t="s">
        <v>565</v>
      </c>
      <c r="H177" t="s">
        <v>577</v>
      </c>
      <c r="I177" t="s">
        <v>578</v>
      </c>
      <c r="J177" t="s">
        <v>579</v>
      </c>
      <c r="L177" s="125">
        <f t="shared" si="7"/>
        <v>44785</v>
      </c>
      <c r="M177" s="125">
        <v>45149</v>
      </c>
      <c r="N177" s="126">
        <f t="shared" si="6"/>
        <v>45149</v>
      </c>
      <c r="Q177" t="s">
        <v>566</v>
      </c>
      <c r="R177" t="s">
        <v>567</v>
      </c>
      <c r="S177" t="s">
        <v>667</v>
      </c>
      <c r="T177" t="s">
        <v>568</v>
      </c>
    </row>
    <row r="178" spans="1:20" ht="15.75" hidden="1" outlineLevel="1" x14ac:dyDescent="0.25">
      <c r="A178">
        <f t="shared" si="5"/>
        <v>129</v>
      </c>
      <c r="B178" t="s">
        <v>560</v>
      </c>
      <c r="C178" t="s">
        <v>561</v>
      </c>
      <c r="D178" s="47" t="s">
        <v>666</v>
      </c>
      <c r="E178" s="127" t="s">
        <v>618</v>
      </c>
      <c r="F178" t="s">
        <v>576</v>
      </c>
      <c r="G178" t="s">
        <v>565</v>
      </c>
      <c r="H178" t="s">
        <v>577</v>
      </c>
      <c r="I178" t="s">
        <v>578</v>
      </c>
      <c r="J178" t="s">
        <v>579</v>
      </c>
      <c r="L178" s="125">
        <f t="shared" si="7"/>
        <v>44785</v>
      </c>
      <c r="M178" s="125">
        <v>45149</v>
      </c>
      <c r="N178" s="126">
        <f t="shared" si="6"/>
        <v>45149</v>
      </c>
      <c r="Q178" t="s">
        <v>566</v>
      </c>
      <c r="R178" t="s">
        <v>567</v>
      </c>
      <c r="S178" t="s">
        <v>667</v>
      </c>
      <c r="T178" t="s">
        <v>568</v>
      </c>
    </row>
    <row r="179" spans="1:20" ht="15.75" hidden="1" outlineLevel="1" x14ac:dyDescent="0.25">
      <c r="A179">
        <f t="shared" si="5"/>
        <v>130</v>
      </c>
      <c r="B179" t="s">
        <v>560</v>
      </c>
      <c r="C179" t="s">
        <v>561</v>
      </c>
      <c r="D179" s="47" t="s">
        <v>666</v>
      </c>
      <c r="E179" s="127" t="s">
        <v>619</v>
      </c>
      <c r="F179" t="s">
        <v>576</v>
      </c>
      <c r="G179" t="s">
        <v>565</v>
      </c>
      <c r="H179" t="s">
        <v>577</v>
      </c>
      <c r="I179" t="s">
        <v>578</v>
      </c>
      <c r="J179" t="s">
        <v>579</v>
      </c>
      <c r="L179" s="125">
        <f t="shared" si="7"/>
        <v>44785</v>
      </c>
      <c r="M179" s="125">
        <v>45149</v>
      </c>
      <c r="N179" s="126">
        <f t="shared" si="6"/>
        <v>45149</v>
      </c>
      <c r="Q179" t="s">
        <v>566</v>
      </c>
      <c r="R179" t="s">
        <v>567</v>
      </c>
      <c r="S179" t="s">
        <v>667</v>
      </c>
      <c r="T179" t="s">
        <v>568</v>
      </c>
    </row>
    <row r="180" spans="1:20" ht="15.75" hidden="1" outlineLevel="1" x14ac:dyDescent="0.25">
      <c r="A180">
        <f t="shared" ref="A180:A243" si="8">A179+1</f>
        <v>131</v>
      </c>
      <c r="B180" t="s">
        <v>560</v>
      </c>
      <c r="C180" t="s">
        <v>561</v>
      </c>
      <c r="D180" s="47" t="s">
        <v>666</v>
      </c>
      <c r="E180" s="127" t="s">
        <v>620</v>
      </c>
      <c r="F180" t="s">
        <v>576</v>
      </c>
      <c r="G180" t="s">
        <v>565</v>
      </c>
      <c r="H180" t="s">
        <v>577</v>
      </c>
      <c r="I180" t="s">
        <v>578</v>
      </c>
      <c r="J180" t="s">
        <v>579</v>
      </c>
      <c r="L180" s="125">
        <f t="shared" si="7"/>
        <v>44547</v>
      </c>
      <c r="M180" s="125">
        <v>44911</v>
      </c>
      <c r="N180" s="126">
        <f t="shared" ref="N180:N243" si="9">M180</f>
        <v>44911</v>
      </c>
      <c r="Q180" t="s">
        <v>566</v>
      </c>
      <c r="R180" t="s">
        <v>567</v>
      </c>
      <c r="S180" t="s">
        <v>667</v>
      </c>
      <c r="T180" t="s">
        <v>568</v>
      </c>
    </row>
    <row r="181" spans="1:20" ht="15.75" hidden="1" outlineLevel="1" x14ac:dyDescent="0.25">
      <c r="A181">
        <f t="shared" si="8"/>
        <v>132</v>
      </c>
      <c r="B181" t="s">
        <v>560</v>
      </c>
      <c r="C181" t="s">
        <v>561</v>
      </c>
      <c r="D181" s="47" t="s">
        <v>666</v>
      </c>
      <c r="E181" s="127" t="s">
        <v>621</v>
      </c>
      <c r="F181" t="s">
        <v>576</v>
      </c>
      <c r="G181" t="s">
        <v>565</v>
      </c>
      <c r="H181" t="s">
        <v>577</v>
      </c>
      <c r="I181" t="s">
        <v>578</v>
      </c>
      <c r="J181" t="s">
        <v>579</v>
      </c>
      <c r="L181" s="125">
        <f t="shared" si="7"/>
        <v>44550</v>
      </c>
      <c r="M181" s="125">
        <v>44914</v>
      </c>
      <c r="N181" s="126">
        <f t="shared" si="9"/>
        <v>44914</v>
      </c>
      <c r="Q181" t="s">
        <v>566</v>
      </c>
      <c r="R181" t="s">
        <v>567</v>
      </c>
      <c r="S181" t="s">
        <v>667</v>
      </c>
      <c r="T181" t="s">
        <v>568</v>
      </c>
    </row>
    <row r="182" spans="1:20" ht="15.75" hidden="1" outlineLevel="1" x14ac:dyDescent="0.25">
      <c r="A182">
        <f t="shared" si="8"/>
        <v>133</v>
      </c>
      <c r="B182" t="s">
        <v>560</v>
      </c>
      <c r="C182" t="s">
        <v>561</v>
      </c>
      <c r="D182" s="47" t="s">
        <v>666</v>
      </c>
      <c r="E182" s="127" t="s">
        <v>622</v>
      </c>
      <c r="F182" t="s">
        <v>576</v>
      </c>
      <c r="G182" t="s">
        <v>565</v>
      </c>
      <c r="H182" t="s">
        <v>577</v>
      </c>
      <c r="I182" t="s">
        <v>578</v>
      </c>
      <c r="J182" t="s">
        <v>579</v>
      </c>
      <c r="L182" s="125">
        <f t="shared" si="7"/>
        <v>44550</v>
      </c>
      <c r="M182" s="125">
        <v>44914</v>
      </c>
      <c r="N182" s="126">
        <f t="shared" si="9"/>
        <v>44914</v>
      </c>
      <c r="Q182" t="s">
        <v>566</v>
      </c>
      <c r="R182" t="s">
        <v>567</v>
      </c>
      <c r="S182" t="s">
        <v>667</v>
      </c>
      <c r="T182" t="s">
        <v>568</v>
      </c>
    </row>
    <row r="183" spans="1:20" ht="15.75" hidden="1" outlineLevel="1" x14ac:dyDescent="0.25">
      <c r="A183">
        <f t="shared" si="8"/>
        <v>134</v>
      </c>
      <c r="B183" t="s">
        <v>560</v>
      </c>
      <c r="C183" t="s">
        <v>561</v>
      </c>
      <c r="D183" s="47" t="s">
        <v>666</v>
      </c>
      <c r="E183" s="127" t="s">
        <v>623</v>
      </c>
      <c r="F183" t="s">
        <v>576</v>
      </c>
      <c r="G183" t="s">
        <v>565</v>
      </c>
      <c r="H183" t="s">
        <v>577</v>
      </c>
      <c r="I183" t="s">
        <v>578</v>
      </c>
      <c r="J183" t="s">
        <v>579</v>
      </c>
      <c r="L183" s="125">
        <f t="shared" si="7"/>
        <v>44550</v>
      </c>
      <c r="M183" s="125">
        <v>44914</v>
      </c>
      <c r="N183" s="126">
        <f t="shared" si="9"/>
        <v>44914</v>
      </c>
      <c r="Q183" t="s">
        <v>566</v>
      </c>
      <c r="R183" t="s">
        <v>567</v>
      </c>
      <c r="S183" t="s">
        <v>667</v>
      </c>
      <c r="T183" t="s">
        <v>568</v>
      </c>
    </row>
    <row r="184" spans="1:20" ht="15.75" hidden="1" outlineLevel="1" x14ac:dyDescent="0.25">
      <c r="A184">
        <f t="shared" si="8"/>
        <v>135</v>
      </c>
      <c r="B184" t="s">
        <v>560</v>
      </c>
      <c r="C184" t="s">
        <v>561</v>
      </c>
      <c r="D184" s="47" t="s">
        <v>666</v>
      </c>
      <c r="E184" s="127" t="s">
        <v>624</v>
      </c>
      <c r="F184" t="s">
        <v>576</v>
      </c>
      <c r="G184" t="s">
        <v>565</v>
      </c>
      <c r="H184" t="s">
        <v>577</v>
      </c>
      <c r="I184" t="s">
        <v>578</v>
      </c>
      <c r="J184" t="s">
        <v>579</v>
      </c>
      <c r="L184" s="125">
        <f t="shared" si="7"/>
        <v>44550</v>
      </c>
      <c r="M184" s="125">
        <v>44914</v>
      </c>
      <c r="N184" s="126">
        <f t="shared" si="9"/>
        <v>44914</v>
      </c>
      <c r="Q184" t="s">
        <v>566</v>
      </c>
      <c r="R184" t="s">
        <v>567</v>
      </c>
      <c r="S184" t="s">
        <v>667</v>
      </c>
      <c r="T184" t="s">
        <v>568</v>
      </c>
    </row>
    <row r="185" spans="1:20" ht="15.75" hidden="1" outlineLevel="1" x14ac:dyDescent="0.25">
      <c r="A185">
        <f t="shared" si="8"/>
        <v>136</v>
      </c>
      <c r="B185" t="s">
        <v>560</v>
      </c>
      <c r="C185" t="s">
        <v>561</v>
      </c>
      <c r="D185" s="47" t="s">
        <v>666</v>
      </c>
      <c r="E185" s="127" t="s">
        <v>625</v>
      </c>
      <c r="F185" t="s">
        <v>576</v>
      </c>
      <c r="G185" t="s">
        <v>565</v>
      </c>
      <c r="H185" t="s">
        <v>577</v>
      </c>
      <c r="I185" t="s">
        <v>578</v>
      </c>
      <c r="J185" t="s">
        <v>579</v>
      </c>
      <c r="L185" s="125">
        <f t="shared" si="7"/>
        <v>44550</v>
      </c>
      <c r="M185" s="125">
        <v>44914</v>
      </c>
      <c r="N185" s="126">
        <f t="shared" si="9"/>
        <v>44914</v>
      </c>
      <c r="Q185" t="s">
        <v>566</v>
      </c>
      <c r="R185" t="s">
        <v>567</v>
      </c>
      <c r="S185" t="s">
        <v>667</v>
      </c>
      <c r="T185" t="s">
        <v>568</v>
      </c>
    </row>
    <row r="186" spans="1:20" ht="15.75" hidden="1" outlineLevel="1" x14ac:dyDescent="0.25">
      <c r="A186">
        <f t="shared" si="8"/>
        <v>137</v>
      </c>
      <c r="B186" t="s">
        <v>560</v>
      </c>
      <c r="C186" t="s">
        <v>561</v>
      </c>
      <c r="D186" s="47" t="s">
        <v>666</v>
      </c>
      <c r="E186" s="127" t="s">
        <v>626</v>
      </c>
      <c r="F186" t="s">
        <v>576</v>
      </c>
      <c r="G186" t="s">
        <v>565</v>
      </c>
      <c r="H186" t="s">
        <v>577</v>
      </c>
      <c r="I186" t="s">
        <v>578</v>
      </c>
      <c r="J186" t="s">
        <v>579</v>
      </c>
      <c r="L186" s="125">
        <f t="shared" si="7"/>
        <v>44550</v>
      </c>
      <c r="M186" s="125">
        <v>44914</v>
      </c>
      <c r="N186" s="126">
        <f t="shared" si="9"/>
        <v>44914</v>
      </c>
      <c r="Q186" t="s">
        <v>566</v>
      </c>
      <c r="R186" t="s">
        <v>567</v>
      </c>
      <c r="S186" t="s">
        <v>667</v>
      </c>
      <c r="T186" t="s">
        <v>568</v>
      </c>
    </row>
    <row r="187" spans="1:20" ht="15.75" hidden="1" outlineLevel="1" x14ac:dyDescent="0.25">
      <c r="A187">
        <f t="shared" si="8"/>
        <v>138</v>
      </c>
      <c r="B187" t="s">
        <v>560</v>
      </c>
      <c r="C187" t="s">
        <v>561</v>
      </c>
      <c r="D187" s="47" t="s">
        <v>666</v>
      </c>
      <c r="E187" s="127" t="s">
        <v>627</v>
      </c>
      <c r="F187" t="s">
        <v>576</v>
      </c>
      <c r="G187" t="s">
        <v>565</v>
      </c>
      <c r="H187" t="s">
        <v>577</v>
      </c>
      <c r="I187" t="s">
        <v>578</v>
      </c>
      <c r="J187" t="s">
        <v>579</v>
      </c>
      <c r="L187" s="125">
        <f t="shared" si="7"/>
        <v>44550</v>
      </c>
      <c r="M187" s="125">
        <v>44914</v>
      </c>
      <c r="N187" s="126">
        <f t="shared" si="9"/>
        <v>44914</v>
      </c>
      <c r="Q187" t="s">
        <v>566</v>
      </c>
      <c r="R187" t="s">
        <v>567</v>
      </c>
      <c r="S187" t="s">
        <v>667</v>
      </c>
      <c r="T187" t="s">
        <v>568</v>
      </c>
    </row>
    <row r="188" spans="1:20" ht="15.75" hidden="1" outlineLevel="1" x14ac:dyDescent="0.25">
      <c r="A188">
        <f t="shared" si="8"/>
        <v>139</v>
      </c>
      <c r="B188" t="s">
        <v>560</v>
      </c>
      <c r="C188" t="s">
        <v>561</v>
      </c>
      <c r="D188" s="47" t="s">
        <v>666</v>
      </c>
      <c r="E188" s="127" t="s">
        <v>628</v>
      </c>
      <c r="F188" t="s">
        <v>576</v>
      </c>
      <c r="G188" t="s">
        <v>565</v>
      </c>
      <c r="H188" t="s">
        <v>577</v>
      </c>
      <c r="I188" t="s">
        <v>578</v>
      </c>
      <c r="J188" t="s">
        <v>579</v>
      </c>
      <c r="L188" s="125">
        <f t="shared" si="7"/>
        <v>44550</v>
      </c>
      <c r="M188" s="125">
        <v>44914</v>
      </c>
      <c r="N188" s="126">
        <f t="shared" si="9"/>
        <v>44914</v>
      </c>
      <c r="Q188" t="s">
        <v>566</v>
      </c>
      <c r="R188" t="s">
        <v>567</v>
      </c>
      <c r="S188" t="s">
        <v>667</v>
      </c>
      <c r="T188" t="s">
        <v>568</v>
      </c>
    </row>
    <row r="189" spans="1:20" ht="15.75" hidden="1" outlineLevel="1" x14ac:dyDescent="0.25">
      <c r="A189">
        <f t="shared" si="8"/>
        <v>140</v>
      </c>
      <c r="B189" t="s">
        <v>560</v>
      </c>
      <c r="C189" t="s">
        <v>561</v>
      </c>
      <c r="D189" s="47" t="s">
        <v>666</v>
      </c>
      <c r="E189" s="127" t="s">
        <v>629</v>
      </c>
      <c r="F189" t="s">
        <v>576</v>
      </c>
      <c r="G189" t="s">
        <v>565</v>
      </c>
      <c r="H189" t="s">
        <v>577</v>
      </c>
      <c r="I189" t="s">
        <v>578</v>
      </c>
      <c r="J189" t="s">
        <v>579</v>
      </c>
      <c r="L189" s="125">
        <f t="shared" si="7"/>
        <v>44550</v>
      </c>
      <c r="M189" s="125">
        <v>44914</v>
      </c>
      <c r="N189" s="126">
        <f t="shared" si="9"/>
        <v>44914</v>
      </c>
      <c r="Q189" t="s">
        <v>566</v>
      </c>
      <c r="R189" t="s">
        <v>567</v>
      </c>
      <c r="S189" t="s">
        <v>667</v>
      </c>
      <c r="T189" t="s">
        <v>568</v>
      </c>
    </row>
    <row r="190" spans="1:20" ht="15.75" hidden="1" outlineLevel="1" x14ac:dyDescent="0.25">
      <c r="A190">
        <f t="shared" si="8"/>
        <v>141</v>
      </c>
      <c r="B190" t="s">
        <v>560</v>
      </c>
      <c r="C190" t="s">
        <v>561</v>
      </c>
      <c r="D190" s="47" t="s">
        <v>666</v>
      </c>
      <c r="E190" s="127" t="s">
        <v>630</v>
      </c>
      <c r="F190" t="s">
        <v>576</v>
      </c>
      <c r="G190" t="s">
        <v>565</v>
      </c>
      <c r="H190" t="s">
        <v>577</v>
      </c>
      <c r="I190" t="s">
        <v>578</v>
      </c>
      <c r="J190" t="s">
        <v>579</v>
      </c>
      <c r="L190" s="125">
        <f t="shared" si="7"/>
        <v>44547</v>
      </c>
      <c r="M190" s="125">
        <v>44911</v>
      </c>
      <c r="N190" s="126">
        <f t="shared" si="9"/>
        <v>44911</v>
      </c>
      <c r="Q190" t="s">
        <v>566</v>
      </c>
      <c r="R190" t="s">
        <v>567</v>
      </c>
      <c r="S190" t="s">
        <v>667</v>
      </c>
      <c r="T190" t="s">
        <v>568</v>
      </c>
    </row>
    <row r="191" spans="1:20" ht="15.75" hidden="1" outlineLevel="1" x14ac:dyDescent="0.25">
      <c r="A191">
        <f t="shared" si="8"/>
        <v>142</v>
      </c>
      <c r="B191" t="s">
        <v>560</v>
      </c>
      <c r="C191" t="s">
        <v>561</v>
      </c>
      <c r="D191" s="47" t="s">
        <v>666</v>
      </c>
      <c r="E191" s="127" t="s">
        <v>631</v>
      </c>
      <c r="F191" t="s">
        <v>576</v>
      </c>
      <c r="G191" t="s">
        <v>565</v>
      </c>
      <c r="H191" t="s">
        <v>577</v>
      </c>
      <c r="I191" t="s">
        <v>578</v>
      </c>
      <c r="J191" t="s">
        <v>579</v>
      </c>
      <c r="L191" s="125">
        <f t="shared" si="7"/>
        <v>44550</v>
      </c>
      <c r="M191" s="125">
        <v>44914</v>
      </c>
      <c r="N191" s="126">
        <f t="shared" si="9"/>
        <v>44914</v>
      </c>
      <c r="Q191" t="s">
        <v>566</v>
      </c>
      <c r="R191" t="s">
        <v>567</v>
      </c>
      <c r="S191" t="s">
        <v>667</v>
      </c>
      <c r="T191" t="s">
        <v>568</v>
      </c>
    </row>
    <row r="192" spans="1:20" ht="15.75" hidden="1" outlineLevel="1" x14ac:dyDescent="0.25">
      <c r="A192">
        <f t="shared" si="8"/>
        <v>143</v>
      </c>
      <c r="B192" t="s">
        <v>560</v>
      </c>
      <c r="C192" t="s">
        <v>561</v>
      </c>
      <c r="D192" s="47" t="s">
        <v>666</v>
      </c>
      <c r="E192" s="127" t="s">
        <v>632</v>
      </c>
      <c r="F192" t="s">
        <v>576</v>
      </c>
      <c r="G192" t="s">
        <v>565</v>
      </c>
      <c r="H192" t="s">
        <v>577</v>
      </c>
      <c r="I192" t="s">
        <v>578</v>
      </c>
      <c r="J192" t="s">
        <v>579</v>
      </c>
      <c r="L192" s="125">
        <f t="shared" si="7"/>
        <v>44550</v>
      </c>
      <c r="M192" s="125">
        <v>44914</v>
      </c>
      <c r="N192" s="126">
        <f t="shared" si="9"/>
        <v>44914</v>
      </c>
      <c r="Q192" t="s">
        <v>566</v>
      </c>
      <c r="R192" t="s">
        <v>567</v>
      </c>
      <c r="S192" t="s">
        <v>667</v>
      </c>
      <c r="T192" t="s">
        <v>568</v>
      </c>
    </row>
    <row r="193" spans="1:20" ht="15.75" hidden="1" outlineLevel="1" x14ac:dyDescent="0.25">
      <c r="A193">
        <f t="shared" si="8"/>
        <v>144</v>
      </c>
      <c r="B193" t="s">
        <v>560</v>
      </c>
      <c r="C193" t="s">
        <v>561</v>
      </c>
      <c r="D193" s="47" t="s">
        <v>666</v>
      </c>
      <c r="E193" s="127" t="s">
        <v>633</v>
      </c>
      <c r="F193" t="s">
        <v>576</v>
      </c>
      <c r="G193" t="s">
        <v>565</v>
      </c>
      <c r="H193" t="s">
        <v>577</v>
      </c>
      <c r="I193" t="s">
        <v>578</v>
      </c>
      <c r="J193" t="s">
        <v>579</v>
      </c>
      <c r="L193" s="125">
        <f t="shared" si="7"/>
        <v>44547</v>
      </c>
      <c r="M193" s="125">
        <v>44911</v>
      </c>
      <c r="N193" s="126">
        <f t="shared" si="9"/>
        <v>44911</v>
      </c>
      <c r="Q193" t="s">
        <v>566</v>
      </c>
      <c r="R193" t="s">
        <v>567</v>
      </c>
      <c r="S193" t="s">
        <v>667</v>
      </c>
      <c r="T193" t="s">
        <v>568</v>
      </c>
    </row>
    <row r="194" spans="1:20" ht="15.75" hidden="1" outlineLevel="1" x14ac:dyDescent="0.25">
      <c r="A194">
        <f t="shared" si="8"/>
        <v>145</v>
      </c>
      <c r="B194" t="s">
        <v>560</v>
      </c>
      <c r="C194" t="s">
        <v>561</v>
      </c>
      <c r="D194" s="47" t="s">
        <v>666</v>
      </c>
      <c r="E194" s="127" t="s">
        <v>634</v>
      </c>
      <c r="F194" t="s">
        <v>576</v>
      </c>
      <c r="G194" t="s">
        <v>565</v>
      </c>
      <c r="H194" t="s">
        <v>577</v>
      </c>
      <c r="I194" t="s">
        <v>578</v>
      </c>
      <c r="J194" t="s">
        <v>579</v>
      </c>
      <c r="L194" s="125">
        <f t="shared" si="7"/>
        <v>44550</v>
      </c>
      <c r="M194" s="125">
        <v>44914</v>
      </c>
      <c r="N194" s="126">
        <f t="shared" si="9"/>
        <v>44914</v>
      </c>
      <c r="Q194" t="s">
        <v>566</v>
      </c>
      <c r="R194" t="s">
        <v>567</v>
      </c>
      <c r="S194" t="s">
        <v>667</v>
      </c>
      <c r="T194" t="s">
        <v>568</v>
      </c>
    </row>
    <row r="195" spans="1:20" ht="15.75" hidden="1" outlineLevel="1" x14ac:dyDescent="0.25">
      <c r="A195">
        <f t="shared" si="8"/>
        <v>146</v>
      </c>
      <c r="B195" t="s">
        <v>560</v>
      </c>
      <c r="C195" t="s">
        <v>561</v>
      </c>
      <c r="D195" s="47" t="s">
        <v>666</v>
      </c>
      <c r="E195" s="127" t="s">
        <v>635</v>
      </c>
      <c r="F195" t="s">
        <v>576</v>
      </c>
      <c r="G195" t="s">
        <v>565</v>
      </c>
      <c r="H195" t="s">
        <v>577</v>
      </c>
      <c r="I195" t="s">
        <v>578</v>
      </c>
      <c r="J195" t="s">
        <v>579</v>
      </c>
      <c r="L195" s="125">
        <f t="shared" si="7"/>
        <v>44550</v>
      </c>
      <c r="M195" s="125">
        <v>44914</v>
      </c>
      <c r="N195" s="126">
        <f t="shared" si="9"/>
        <v>44914</v>
      </c>
      <c r="Q195" t="s">
        <v>566</v>
      </c>
      <c r="R195" t="s">
        <v>567</v>
      </c>
      <c r="S195" t="s">
        <v>667</v>
      </c>
      <c r="T195" t="s">
        <v>568</v>
      </c>
    </row>
    <row r="196" spans="1:20" ht="15.75" hidden="1" outlineLevel="1" x14ac:dyDescent="0.25">
      <c r="A196">
        <f t="shared" si="8"/>
        <v>147</v>
      </c>
      <c r="B196" t="s">
        <v>560</v>
      </c>
      <c r="C196" t="s">
        <v>561</v>
      </c>
      <c r="D196" s="47" t="s">
        <v>666</v>
      </c>
      <c r="E196" s="127" t="s">
        <v>636</v>
      </c>
      <c r="F196" t="s">
        <v>576</v>
      </c>
      <c r="G196" t="s">
        <v>565</v>
      </c>
      <c r="H196" t="s">
        <v>577</v>
      </c>
      <c r="I196" t="s">
        <v>578</v>
      </c>
      <c r="J196" t="s">
        <v>579</v>
      </c>
      <c r="L196" s="125">
        <f t="shared" si="7"/>
        <v>44550</v>
      </c>
      <c r="M196" s="125">
        <v>44914</v>
      </c>
      <c r="N196" s="126">
        <f t="shared" si="9"/>
        <v>44914</v>
      </c>
      <c r="Q196" t="s">
        <v>566</v>
      </c>
      <c r="R196" t="s">
        <v>567</v>
      </c>
      <c r="S196" t="s">
        <v>667</v>
      </c>
      <c r="T196" t="s">
        <v>568</v>
      </c>
    </row>
    <row r="197" spans="1:20" ht="15.75" hidden="1" outlineLevel="1" x14ac:dyDescent="0.25">
      <c r="A197">
        <f t="shared" si="8"/>
        <v>148</v>
      </c>
      <c r="B197" t="s">
        <v>560</v>
      </c>
      <c r="C197" t="s">
        <v>561</v>
      </c>
      <c r="D197" s="47" t="s">
        <v>666</v>
      </c>
      <c r="E197" s="127" t="s">
        <v>637</v>
      </c>
      <c r="F197" t="s">
        <v>576</v>
      </c>
      <c r="G197" t="s">
        <v>565</v>
      </c>
      <c r="H197" t="s">
        <v>577</v>
      </c>
      <c r="I197" t="s">
        <v>578</v>
      </c>
      <c r="J197" t="s">
        <v>579</v>
      </c>
      <c r="L197" s="125">
        <f t="shared" si="7"/>
        <v>44547</v>
      </c>
      <c r="M197" s="125">
        <v>44911</v>
      </c>
      <c r="N197" s="126">
        <f t="shared" si="9"/>
        <v>44911</v>
      </c>
      <c r="Q197" t="s">
        <v>566</v>
      </c>
      <c r="R197" t="s">
        <v>567</v>
      </c>
      <c r="S197" t="s">
        <v>667</v>
      </c>
      <c r="T197" t="s">
        <v>568</v>
      </c>
    </row>
    <row r="198" spans="1:20" ht="15.75" hidden="1" outlineLevel="1" x14ac:dyDescent="0.25">
      <c r="A198">
        <f t="shared" si="8"/>
        <v>149</v>
      </c>
      <c r="B198" t="s">
        <v>560</v>
      </c>
      <c r="C198" t="s">
        <v>561</v>
      </c>
      <c r="D198" s="47" t="s">
        <v>666</v>
      </c>
      <c r="E198" s="127" t="s">
        <v>638</v>
      </c>
      <c r="F198" t="s">
        <v>576</v>
      </c>
      <c r="G198" t="s">
        <v>565</v>
      </c>
      <c r="H198" t="s">
        <v>577</v>
      </c>
      <c r="I198" t="s">
        <v>578</v>
      </c>
      <c r="J198" t="s">
        <v>579</v>
      </c>
      <c r="L198" s="125">
        <f t="shared" si="7"/>
        <v>44550</v>
      </c>
      <c r="M198" s="125">
        <v>44914</v>
      </c>
      <c r="N198" s="126">
        <f t="shared" si="9"/>
        <v>44914</v>
      </c>
      <c r="Q198" t="s">
        <v>566</v>
      </c>
      <c r="R198" t="s">
        <v>567</v>
      </c>
      <c r="S198" t="s">
        <v>667</v>
      </c>
      <c r="T198" t="s">
        <v>568</v>
      </c>
    </row>
    <row r="199" spans="1:20" ht="15.75" hidden="1" outlineLevel="1" x14ac:dyDescent="0.25">
      <c r="A199">
        <f t="shared" si="8"/>
        <v>150</v>
      </c>
      <c r="B199" t="s">
        <v>560</v>
      </c>
      <c r="C199" t="s">
        <v>561</v>
      </c>
      <c r="D199" s="47" t="s">
        <v>666</v>
      </c>
      <c r="E199" s="127" t="s">
        <v>639</v>
      </c>
      <c r="F199" t="s">
        <v>576</v>
      </c>
      <c r="G199" t="s">
        <v>565</v>
      </c>
      <c r="H199" t="s">
        <v>577</v>
      </c>
      <c r="I199" t="s">
        <v>578</v>
      </c>
      <c r="J199" t="s">
        <v>579</v>
      </c>
      <c r="L199" s="125">
        <f t="shared" si="7"/>
        <v>44550</v>
      </c>
      <c r="M199" s="125">
        <v>44914</v>
      </c>
      <c r="N199" s="126">
        <f t="shared" si="9"/>
        <v>44914</v>
      </c>
      <c r="Q199" t="s">
        <v>566</v>
      </c>
      <c r="R199" t="s">
        <v>567</v>
      </c>
      <c r="S199" t="s">
        <v>667</v>
      </c>
      <c r="T199" t="s">
        <v>568</v>
      </c>
    </row>
    <row r="200" spans="1:20" ht="15.75" hidden="1" outlineLevel="1" x14ac:dyDescent="0.25">
      <c r="A200">
        <f t="shared" si="8"/>
        <v>151</v>
      </c>
      <c r="B200" t="s">
        <v>560</v>
      </c>
      <c r="C200" t="s">
        <v>561</v>
      </c>
      <c r="D200" s="47" t="s">
        <v>666</v>
      </c>
      <c r="E200" s="127" t="s">
        <v>640</v>
      </c>
      <c r="F200" t="s">
        <v>576</v>
      </c>
      <c r="G200" t="s">
        <v>565</v>
      </c>
      <c r="H200" t="s">
        <v>577</v>
      </c>
      <c r="I200" t="s">
        <v>578</v>
      </c>
      <c r="J200" t="s">
        <v>579</v>
      </c>
      <c r="L200" s="125">
        <f t="shared" si="7"/>
        <v>44550</v>
      </c>
      <c r="M200" s="125">
        <v>44914</v>
      </c>
      <c r="N200" s="126">
        <f t="shared" si="9"/>
        <v>44914</v>
      </c>
      <c r="Q200" t="s">
        <v>566</v>
      </c>
      <c r="R200" t="s">
        <v>567</v>
      </c>
      <c r="S200" t="s">
        <v>667</v>
      </c>
      <c r="T200" t="s">
        <v>568</v>
      </c>
    </row>
    <row r="201" spans="1:20" ht="15.75" hidden="1" outlineLevel="1" x14ac:dyDescent="0.25">
      <c r="A201">
        <f t="shared" si="8"/>
        <v>152</v>
      </c>
      <c r="B201" t="s">
        <v>560</v>
      </c>
      <c r="C201" t="s">
        <v>561</v>
      </c>
      <c r="D201" s="47" t="s">
        <v>666</v>
      </c>
      <c r="E201" s="127" t="s">
        <v>641</v>
      </c>
      <c r="F201" t="s">
        <v>576</v>
      </c>
      <c r="G201" t="s">
        <v>565</v>
      </c>
      <c r="H201" t="s">
        <v>577</v>
      </c>
      <c r="I201" t="s">
        <v>578</v>
      </c>
      <c r="J201" t="s">
        <v>579</v>
      </c>
      <c r="L201" s="125">
        <f t="shared" si="7"/>
        <v>44550</v>
      </c>
      <c r="M201" s="125">
        <v>44914</v>
      </c>
      <c r="N201" s="126">
        <f t="shared" si="9"/>
        <v>44914</v>
      </c>
      <c r="Q201" t="s">
        <v>566</v>
      </c>
      <c r="R201" t="s">
        <v>567</v>
      </c>
      <c r="S201" t="s">
        <v>667</v>
      </c>
      <c r="T201" t="s">
        <v>568</v>
      </c>
    </row>
    <row r="202" spans="1:20" ht="15.75" hidden="1" outlineLevel="1" x14ac:dyDescent="0.25">
      <c r="A202">
        <f t="shared" si="8"/>
        <v>153</v>
      </c>
      <c r="B202" t="s">
        <v>560</v>
      </c>
      <c r="C202" t="s">
        <v>561</v>
      </c>
      <c r="D202" s="47" t="s">
        <v>666</v>
      </c>
      <c r="E202" s="127" t="s">
        <v>642</v>
      </c>
      <c r="F202" t="s">
        <v>576</v>
      </c>
      <c r="G202" t="s">
        <v>565</v>
      </c>
      <c r="H202" t="s">
        <v>577</v>
      </c>
      <c r="I202" t="s">
        <v>578</v>
      </c>
      <c r="J202" t="s">
        <v>579</v>
      </c>
      <c r="L202" s="125">
        <f t="shared" si="7"/>
        <v>44550</v>
      </c>
      <c r="M202" s="125">
        <v>44914</v>
      </c>
      <c r="N202" s="126">
        <f t="shared" si="9"/>
        <v>44914</v>
      </c>
      <c r="Q202" t="s">
        <v>566</v>
      </c>
      <c r="R202" t="s">
        <v>567</v>
      </c>
      <c r="S202" t="s">
        <v>667</v>
      </c>
      <c r="T202" t="s">
        <v>568</v>
      </c>
    </row>
    <row r="203" spans="1:20" ht="15.75" hidden="1" outlineLevel="1" x14ac:dyDescent="0.25">
      <c r="A203">
        <f t="shared" si="8"/>
        <v>154</v>
      </c>
      <c r="B203" t="s">
        <v>560</v>
      </c>
      <c r="C203" t="s">
        <v>561</v>
      </c>
      <c r="D203" s="47" t="s">
        <v>666</v>
      </c>
      <c r="E203" s="127" t="s">
        <v>643</v>
      </c>
      <c r="F203" t="s">
        <v>576</v>
      </c>
      <c r="G203" t="s">
        <v>565</v>
      </c>
      <c r="H203" t="s">
        <v>577</v>
      </c>
      <c r="I203" t="s">
        <v>578</v>
      </c>
      <c r="J203" t="s">
        <v>579</v>
      </c>
      <c r="L203" s="125">
        <f t="shared" si="7"/>
        <v>44550</v>
      </c>
      <c r="M203" s="125">
        <v>44914</v>
      </c>
      <c r="N203" s="126">
        <f t="shared" si="9"/>
        <v>44914</v>
      </c>
      <c r="Q203" t="s">
        <v>566</v>
      </c>
      <c r="R203" t="s">
        <v>567</v>
      </c>
      <c r="S203" t="s">
        <v>667</v>
      </c>
      <c r="T203" t="s">
        <v>568</v>
      </c>
    </row>
    <row r="204" spans="1:20" ht="15.75" hidden="1" outlineLevel="1" x14ac:dyDescent="0.25">
      <c r="A204">
        <f t="shared" si="8"/>
        <v>155</v>
      </c>
      <c r="B204" t="s">
        <v>560</v>
      </c>
      <c r="C204" t="s">
        <v>561</v>
      </c>
      <c r="D204" s="47" t="s">
        <v>666</v>
      </c>
      <c r="E204" s="127" t="s">
        <v>644</v>
      </c>
      <c r="F204" t="s">
        <v>576</v>
      </c>
      <c r="G204" t="s">
        <v>565</v>
      </c>
      <c r="H204" t="s">
        <v>577</v>
      </c>
      <c r="I204" t="s">
        <v>578</v>
      </c>
      <c r="J204" t="s">
        <v>579</v>
      </c>
      <c r="L204" s="125">
        <f t="shared" si="7"/>
        <v>44550</v>
      </c>
      <c r="M204" s="125">
        <v>44914</v>
      </c>
      <c r="N204" s="126">
        <f t="shared" si="9"/>
        <v>44914</v>
      </c>
      <c r="Q204" t="s">
        <v>566</v>
      </c>
      <c r="R204" t="s">
        <v>567</v>
      </c>
      <c r="S204" t="s">
        <v>667</v>
      </c>
      <c r="T204" t="s">
        <v>568</v>
      </c>
    </row>
    <row r="205" spans="1:20" ht="15.75" hidden="1" outlineLevel="1" x14ac:dyDescent="0.25">
      <c r="A205">
        <f t="shared" si="8"/>
        <v>156</v>
      </c>
      <c r="B205" t="s">
        <v>560</v>
      </c>
      <c r="C205" t="s">
        <v>561</v>
      </c>
      <c r="D205" s="47" t="s">
        <v>666</v>
      </c>
      <c r="E205" s="127" t="s">
        <v>645</v>
      </c>
      <c r="F205" t="s">
        <v>576</v>
      </c>
      <c r="G205" t="s">
        <v>565</v>
      </c>
      <c r="H205" t="s">
        <v>577</v>
      </c>
      <c r="I205" t="s">
        <v>578</v>
      </c>
      <c r="J205" t="s">
        <v>579</v>
      </c>
      <c r="L205" s="125">
        <f t="shared" ref="L205:L225" si="10">M205-364</f>
        <v>44547</v>
      </c>
      <c r="M205" s="125">
        <v>44911</v>
      </c>
      <c r="N205" s="126">
        <f t="shared" si="9"/>
        <v>44911</v>
      </c>
      <c r="Q205" t="s">
        <v>566</v>
      </c>
      <c r="R205" t="s">
        <v>567</v>
      </c>
      <c r="S205" t="s">
        <v>667</v>
      </c>
      <c r="T205" t="s">
        <v>568</v>
      </c>
    </row>
    <row r="206" spans="1:20" ht="15.75" hidden="1" outlineLevel="1" x14ac:dyDescent="0.25">
      <c r="A206">
        <f t="shared" si="8"/>
        <v>157</v>
      </c>
      <c r="B206" t="s">
        <v>560</v>
      </c>
      <c r="C206" t="s">
        <v>561</v>
      </c>
      <c r="D206" s="47" t="s">
        <v>666</v>
      </c>
      <c r="E206" s="127" t="s">
        <v>646</v>
      </c>
      <c r="F206" t="s">
        <v>576</v>
      </c>
      <c r="G206" t="s">
        <v>565</v>
      </c>
      <c r="H206" t="s">
        <v>577</v>
      </c>
      <c r="I206" t="s">
        <v>578</v>
      </c>
      <c r="J206" t="s">
        <v>579</v>
      </c>
      <c r="L206" s="125">
        <f t="shared" si="10"/>
        <v>44550</v>
      </c>
      <c r="M206" s="125">
        <v>44914</v>
      </c>
      <c r="N206" s="126">
        <f t="shared" si="9"/>
        <v>44914</v>
      </c>
      <c r="Q206" t="s">
        <v>566</v>
      </c>
      <c r="R206" t="s">
        <v>567</v>
      </c>
      <c r="S206" t="s">
        <v>667</v>
      </c>
      <c r="T206" t="s">
        <v>568</v>
      </c>
    </row>
    <row r="207" spans="1:20" ht="15.75" hidden="1" outlineLevel="1" x14ac:dyDescent="0.25">
      <c r="A207">
        <f t="shared" si="8"/>
        <v>158</v>
      </c>
      <c r="B207" t="s">
        <v>560</v>
      </c>
      <c r="C207" t="s">
        <v>561</v>
      </c>
      <c r="D207" s="47" t="s">
        <v>666</v>
      </c>
      <c r="E207" s="127" t="s">
        <v>647</v>
      </c>
      <c r="F207" t="s">
        <v>576</v>
      </c>
      <c r="G207" t="s">
        <v>565</v>
      </c>
      <c r="H207" t="s">
        <v>577</v>
      </c>
      <c r="I207" t="s">
        <v>578</v>
      </c>
      <c r="J207" t="s">
        <v>579</v>
      </c>
      <c r="L207" s="125">
        <f t="shared" si="10"/>
        <v>44550</v>
      </c>
      <c r="M207" s="125">
        <v>44914</v>
      </c>
      <c r="N207" s="126">
        <f t="shared" si="9"/>
        <v>44914</v>
      </c>
      <c r="Q207" t="s">
        <v>566</v>
      </c>
      <c r="R207" t="s">
        <v>567</v>
      </c>
      <c r="S207" t="s">
        <v>667</v>
      </c>
      <c r="T207" t="s">
        <v>568</v>
      </c>
    </row>
    <row r="208" spans="1:20" ht="15.75" hidden="1" outlineLevel="1" x14ac:dyDescent="0.25">
      <c r="A208">
        <f t="shared" si="8"/>
        <v>159</v>
      </c>
      <c r="B208" t="s">
        <v>560</v>
      </c>
      <c r="C208" t="s">
        <v>561</v>
      </c>
      <c r="D208" s="47" t="s">
        <v>666</v>
      </c>
      <c r="E208" s="127" t="s">
        <v>648</v>
      </c>
      <c r="F208" t="s">
        <v>576</v>
      </c>
      <c r="G208" t="s">
        <v>565</v>
      </c>
      <c r="H208" t="s">
        <v>577</v>
      </c>
      <c r="I208" t="s">
        <v>578</v>
      </c>
      <c r="J208" t="s">
        <v>579</v>
      </c>
      <c r="L208" s="125">
        <f t="shared" si="10"/>
        <v>44547</v>
      </c>
      <c r="M208" s="125">
        <v>44911</v>
      </c>
      <c r="N208" s="126">
        <f t="shared" si="9"/>
        <v>44911</v>
      </c>
      <c r="Q208" t="s">
        <v>566</v>
      </c>
      <c r="R208" t="s">
        <v>567</v>
      </c>
      <c r="S208" t="s">
        <v>667</v>
      </c>
      <c r="T208" t="s">
        <v>568</v>
      </c>
    </row>
    <row r="209" spans="1:20" ht="15.75" hidden="1" outlineLevel="1" x14ac:dyDescent="0.25">
      <c r="A209">
        <f t="shared" si="8"/>
        <v>160</v>
      </c>
      <c r="B209" t="s">
        <v>560</v>
      </c>
      <c r="C209" t="s">
        <v>561</v>
      </c>
      <c r="D209" s="47" t="s">
        <v>666</v>
      </c>
      <c r="E209" s="127" t="s">
        <v>649</v>
      </c>
      <c r="F209" t="s">
        <v>576</v>
      </c>
      <c r="G209" t="s">
        <v>565</v>
      </c>
      <c r="H209" t="s">
        <v>577</v>
      </c>
      <c r="I209" t="s">
        <v>578</v>
      </c>
      <c r="J209" t="s">
        <v>579</v>
      </c>
      <c r="L209" s="125">
        <f t="shared" si="10"/>
        <v>44550</v>
      </c>
      <c r="M209" s="125">
        <v>44914</v>
      </c>
      <c r="N209" s="126">
        <f t="shared" si="9"/>
        <v>44914</v>
      </c>
      <c r="Q209" t="s">
        <v>566</v>
      </c>
      <c r="R209" t="s">
        <v>567</v>
      </c>
      <c r="S209" t="s">
        <v>667</v>
      </c>
      <c r="T209" t="s">
        <v>568</v>
      </c>
    </row>
    <row r="210" spans="1:20" ht="15.75" hidden="1" outlineLevel="1" x14ac:dyDescent="0.25">
      <c r="A210">
        <f t="shared" si="8"/>
        <v>161</v>
      </c>
      <c r="B210" t="s">
        <v>560</v>
      </c>
      <c r="C210" t="s">
        <v>561</v>
      </c>
      <c r="D210" s="47" t="s">
        <v>666</v>
      </c>
      <c r="E210" s="127" t="s">
        <v>650</v>
      </c>
      <c r="F210" t="s">
        <v>576</v>
      </c>
      <c r="G210" t="s">
        <v>565</v>
      </c>
      <c r="H210" t="s">
        <v>577</v>
      </c>
      <c r="I210" t="s">
        <v>578</v>
      </c>
      <c r="J210" t="s">
        <v>579</v>
      </c>
      <c r="L210" s="125">
        <f t="shared" si="10"/>
        <v>44547</v>
      </c>
      <c r="M210" s="125">
        <v>44911</v>
      </c>
      <c r="N210" s="126">
        <f t="shared" si="9"/>
        <v>44911</v>
      </c>
      <c r="Q210" t="s">
        <v>566</v>
      </c>
      <c r="R210" t="s">
        <v>567</v>
      </c>
      <c r="S210" t="s">
        <v>667</v>
      </c>
      <c r="T210" t="s">
        <v>568</v>
      </c>
    </row>
    <row r="211" spans="1:20" ht="15.75" hidden="1" outlineLevel="1" x14ac:dyDescent="0.25">
      <c r="A211">
        <f t="shared" si="8"/>
        <v>162</v>
      </c>
      <c r="B211" t="s">
        <v>560</v>
      </c>
      <c r="C211" t="s">
        <v>561</v>
      </c>
      <c r="D211" s="47" t="s">
        <v>666</v>
      </c>
      <c r="E211" s="127" t="s">
        <v>651</v>
      </c>
      <c r="F211" t="s">
        <v>576</v>
      </c>
      <c r="G211" t="s">
        <v>565</v>
      </c>
      <c r="H211" t="s">
        <v>577</v>
      </c>
      <c r="I211" t="s">
        <v>578</v>
      </c>
      <c r="J211" t="s">
        <v>579</v>
      </c>
      <c r="L211" s="125">
        <f t="shared" si="10"/>
        <v>44547</v>
      </c>
      <c r="M211" s="125">
        <v>44911</v>
      </c>
      <c r="N211" s="126">
        <f t="shared" si="9"/>
        <v>44911</v>
      </c>
      <c r="Q211" t="s">
        <v>566</v>
      </c>
      <c r="R211" t="s">
        <v>567</v>
      </c>
      <c r="S211" t="s">
        <v>667</v>
      </c>
      <c r="T211" t="s">
        <v>568</v>
      </c>
    </row>
    <row r="212" spans="1:20" ht="15.75" hidden="1" outlineLevel="1" x14ac:dyDescent="0.25">
      <c r="A212">
        <f t="shared" si="8"/>
        <v>163</v>
      </c>
      <c r="B212" t="s">
        <v>560</v>
      </c>
      <c r="C212" t="s">
        <v>561</v>
      </c>
      <c r="D212" s="47" t="s">
        <v>666</v>
      </c>
      <c r="E212" s="127" t="s">
        <v>652</v>
      </c>
      <c r="F212" t="s">
        <v>576</v>
      </c>
      <c r="G212" t="s">
        <v>565</v>
      </c>
      <c r="H212" t="s">
        <v>577</v>
      </c>
      <c r="I212" t="s">
        <v>578</v>
      </c>
      <c r="J212" t="s">
        <v>579</v>
      </c>
      <c r="L212" s="125">
        <f t="shared" si="10"/>
        <v>44588</v>
      </c>
      <c r="M212" s="125">
        <v>44952</v>
      </c>
      <c r="N212" s="126">
        <f t="shared" si="9"/>
        <v>44952</v>
      </c>
      <c r="Q212" t="s">
        <v>566</v>
      </c>
      <c r="R212" t="s">
        <v>567</v>
      </c>
      <c r="S212" t="s">
        <v>667</v>
      </c>
      <c r="T212" t="s">
        <v>568</v>
      </c>
    </row>
    <row r="213" spans="1:20" ht="15.75" hidden="1" outlineLevel="1" x14ac:dyDescent="0.25">
      <c r="A213">
        <f t="shared" si="8"/>
        <v>164</v>
      </c>
      <c r="B213" t="s">
        <v>560</v>
      </c>
      <c r="C213" t="s">
        <v>561</v>
      </c>
      <c r="D213" s="47" t="s">
        <v>666</v>
      </c>
      <c r="E213" s="127" t="s">
        <v>653</v>
      </c>
      <c r="F213" t="s">
        <v>576</v>
      </c>
      <c r="G213" t="s">
        <v>565</v>
      </c>
      <c r="H213" t="s">
        <v>577</v>
      </c>
      <c r="I213" t="s">
        <v>578</v>
      </c>
      <c r="J213" t="s">
        <v>579</v>
      </c>
      <c r="L213" s="125">
        <f t="shared" si="10"/>
        <v>44550</v>
      </c>
      <c r="M213" s="125">
        <v>44914</v>
      </c>
      <c r="N213" s="126">
        <f t="shared" si="9"/>
        <v>44914</v>
      </c>
      <c r="Q213" t="s">
        <v>566</v>
      </c>
      <c r="R213" t="s">
        <v>567</v>
      </c>
      <c r="S213" t="s">
        <v>667</v>
      </c>
      <c r="T213" t="s">
        <v>568</v>
      </c>
    </row>
    <row r="214" spans="1:20" ht="15.75" hidden="1" outlineLevel="1" x14ac:dyDescent="0.25">
      <c r="A214">
        <f t="shared" si="8"/>
        <v>165</v>
      </c>
      <c r="B214" t="s">
        <v>560</v>
      </c>
      <c r="C214" t="s">
        <v>561</v>
      </c>
      <c r="D214" s="47" t="s">
        <v>666</v>
      </c>
      <c r="E214" s="127" t="s">
        <v>654</v>
      </c>
      <c r="F214" t="s">
        <v>576</v>
      </c>
      <c r="G214" t="s">
        <v>565</v>
      </c>
      <c r="H214" t="s">
        <v>577</v>
      </c>
      <c r="I214" t="s">
        <v>578</v>
      </c>
      <c r="J214" t="s">
        <v>579</v>
      </c>
      <c r="L214" s="125">
        <f t="shared" si="10"/>
        <v>44588</v>
      </c>
      <c r="M214" s="125">
        <v>44952</v>
      </c>
      <c r="N214" s="126">
        <f t="shared" si="9"/>
        <v>44952</v>
      </c>
      <c r="Q214" t="s">
        <v>566</v>
      </c>
      <c r="R214" t="s">
        <v>567</v>
      </c>
      <c r="S214" t="s">
        <v>667</v>
      </c>
      <c r="T214" t="s">
        <v>568</v>
      </c>
    </row>
    <row r="215" spans="1:20" ht="15.75" hidden="1" outlineLevel="1" x14ac:dyDescent="0.25">
      <c r="A215">
        <f t="shared" si="8"/>
        <v>166</v>
      </c>
      <c r="B215" t="s">
        <v>560</v>
      </c>
      <c r="C215" t="s">
        <v>561</v>
      </c>
      <c r="D215" s="47" t="s">
        <v>666</v>
      </c>
      <c r="E215" s="127" t="s">
        <v>655</v>
      </c>
      <c r="F215" t="s">
        <v>576</v>
      </c>
      <c r="G215" t="s">
        <v>565</v>
      </c>
      <c r="H215" t="s">
        <v>577</v>
      </c>
      <c r="I215" t="s">
        <v>578</v>
      </c>
      <c r="J215" t="s">
        <v>579</v>
      </c>
      <c r="L215" s="125">
        <f t="shared" si="10"/>
        <v>44615</v>
      </c>
      <c r="M215" s="125">
        <v>44979</v>
      </c>
      <c r="N215" s="126">
        <f t="shared" si="9"/>
        <v>44979</v>
      </c>
      <c r="Q215" t="s">
        <v>566</v>
      </c>
      <c r="R215" t="s">
        <v>567</v>
      </c>
      <c r="S215" t="s">
        <v>667</v>
      </c>
      <c r="T215" t="s">
        <v>568</v>
      </c>
    </row>
    <row r="216" spans="1:20" ht="15.75" hidden="1" outlineLevel="1" x14ac:dyDescent="0.25">
      <c r="A216">
        <f t="shared" si="8"/>
        <v>167</v>
      </c>
      <c r="B216" t="s">
        <v>560</v>
      </c>
      <c r="C216" t="s">
        <v>561</v>
      </c>
      <c r="D216" s="47" t="s">
        <v>666</v>
      </c>
      <c r="E216" s="127" t="s">
        <v>656</v>
      </c>
      <c r="F216" t="s">
        <v>576</v>
      </c>
      <c r="G216" t="s">
        <v>565</v>
      </c>
      <c r="H216" t="s">
        <v>577</v>
      </c>
      <c r="I216" t="s">
        <v>578</v>
      </c>
      <c r="J216" t="s">
        <v>579</v>
      </c>
      <c r="L216" s="125">
        <f t="shared" si="10"/>
        <v>44588</v>
      </c>
      <c r="M216" s="125">
        <v>44952</v>
      </c>
      <c r="N216" s="126">
        <f t="shared" si="9"/>
        <v>44952</v>
      </c>
      <c r="Q216" t="s">
        <v>566</v>
      </c>
      <c r="R216" t="s">
        <v>567</v>
      </c>
      <c r="S216" t="s">
        <v>667</v>
      </c>
      <c r="T216" t="s">
        <v>568</v>
      </c>
    </row>
    <row r="217" spans="1:20" ht="15.75" hidden="1" outlineLevel="1" x14ac:dyDescent="0.25">
      <c r="A217">
        <f t="shared" si="8"/>
        <v>168</v>
      </c>
      <c r="B217" t="s">
        <v>560</v>
      </c>
      <c r="C217" t="s">
        <v>561</v>
      </c>
      <c r="D217" s="47" t="s">
        <v>666</v>
      </c>
      <c r="E217" s="127" t="s">
        <v>657</v>
      </c>
      <c r="F217" t="s">
        <v>576</v>
      </c>
      <c r="G217" t="s">
        <v>565</v>
      </c>
      <c r="H217" t="s">
        <v>577</v>
      </c>
      <c r="I217" t="s">
        <v>578</v>
      </c>
      <c r="J217" t="s">
        <v>579</v>
      </c>
      <c r="L217" s="125">
        <f t="shared" si="10"/>
        <v>44588</v>
      </c>
      <c r="M217" s="125">
        <v>44952</v>
      </c>
      <c r="N217" s="126">
        <f t="shared" si="9"/>
        <v>44952</v>
      </c>
      <c r="Q217" t="s">
        <v>566</v>
      </c>
      <c r="R217" t="s">
        <v>567</v>
      </c>
      <c r="S217" t="s">
        <v>667</v>
      </c>
      <c r="T217" t="s">
        <v>568</v>
      </c>
    </row>
    <row r="218" spans="1:20" ht="15.75" hidden="1" outlineLevel="1" x14ac:dyDescent="0.25">
      <c r="A218">
        <f t="shared" si="8"/>
        <v>169</v>
      </c>
      <c r="B218" t="s">
        <v>560</v>
      </c>
      <c r="C218" t="s">
        <v>561</v>
      </c>
      <c r="D218" s="47" t="s">
        <v>666</v>
      </c>
      <c r="E218" s="127" t="s">
        <v>658</v>
      </c>
      <c r="F218" t="s">
        <v>576</v>
      </c>
      <c r="G218" t="s">
        <v>565</v>
      </c>
      <c r="H218" t="s">
        <v>577</v>
      </c>
      <c r="I218" t="s">
        <v>578</v>
      </c>
      <c r="J218" t="s">
        <v>579</v>
      </c>
      <c r="L218" s="125">
        <f t="shared" si="10"/>
        <v>44615</v>
      </c>
      <c r="M218" s="125">
        <v>44979</v>
      </c>
      <c r="N218" s="126">
        <f t="shared" si="9"/>
        <v>44979</v>
      </c>
      <c r="Q218" t="s">
        <v>566</v>
      </c>
      <c r="R218" t="s">
        <v>567</v>
      </c>
      <c r="S218" t="s">
        <v>667</v>
      </c>
      <c r="T218" t="s">
        <v>568</v>
      </c>
    </row>
    <row r="219" spans="1:20" ht="15.75" hidden="1" outlineLevel="1" x14ac:dyDescent="0.25">
      <c r="A219">
        <f t="shared" si="8"/>
        <v>170</v>
      </c>
      <c r="B219" t="s">
        <v>560</v>
      </c>
      <c r="C219" t="s">
        <v>561</v>
      </c>
      <c r="D219" s="47" t="s">
        <v>666</v>
      </c>
      <c r="E219" s="127" t="s">
        <v>659</v>
      </c>
      <c r="F219" t="s">
        <v>576</v>
      </c>
      <c r="G219" t="s">
        <v>565</v>
      </c>
      <c r="H219" t="s">
        <v>577</v>
      </c>
      <c r="I219" t="s">
        <v>578</v>
      </c>
      <c r="J219" t="s">
        <v>579</v>
      </c>
      <c r="L219" s="125">
        <f t="shared" si="10"/>
        <v>44588</v>
      </c>
      <c r="M219" s="125">
        <v>44952</v>
      </c>
      <c r="N219" s="126">
        <f t="shared" si="9"/>
        <v>44952</v>
      </c>
      <c r="Q219" t="s">
        <v>566</v>
      </c>
      <c r="R219" t="s">
        <v>567</v>
      </c>
      <c r="S219" t="s">
        <v>667</v>
      </c>
      <c r="T219" t="s">
        <v>568</v>
      </c>
    </row>
    <row r="220" spans="1:20" ht="15.75" hidden="1" outlineLevel="1" x14ac:dyDescent="0.25">
      <c r="A220">
        <f t="shared" si="8"/>
        <v>171</v>
      </c>
      <c r="B220" t="s">
        <v>560</v>
      </c>
      <c r="C220" t="s">
        <v>561</v>
      </c>
      <c r="D220" s="47" t="s">
        <v>666</v>
      </c>
      <c r="E220" s="127" t="s">
        <v>660</v>
      </c>
      <c r="F220" t="s">
        <v>576</v>
      </c>
      <c r="G220" t="s">
        <v>565</v>
      </c>
      <c r="H220" t="s">
        <v>577</v>
      </c>
      <c r="I220" t="s">
        <v>578</v>
      </c>
      <c r="J220" t="s">
        <v>579</v>
      </c>
      <c r="L220" s="125">
        <f t="shared" si="10"/>
        <v>44615</v>
      </c>
      <c r="M220" s="125">
        <v>44979</v>
      </c>
      <c r="N220" s="126">
        <f t="shared" si="9"/>
        <v>44979</v>
      </c>
      <c r="Q220" t="s">
        <v>566</v>
      </c>
      <c r="R220" t="s">
        <v>567</v>
      </c>
      <c r="S220" t="s">
        <v>667</v>
      </c>
      <c r="T220" t="s">
        <v>568</v>
      </c>
    </row>
    <row r="221" spans="1:20" ht="15.75" hidden="1" outlineLevel="1" x14ac:dyDescent="0.25">
      <c r="A221">
        <f t="shared" si="8"/>
        <v>172</v>
      </c>
      <c r="B221" t="s">
        <v>560</v>
      </c>
      <c r="C221" t="s">
        <v>561</v>
      </c>
      <c r="D221" s="47" t="s">
        <v>666</v>
      </c>
      <c r="E221" s="127" t="s">
        <v>661</v>
      </c>
      <c r="F221" t="s">
        <v>576</v>
      </c>
      <c r="G221" t="s">
        <v>565</v>
      </c>
      <c r="H221" t="s">
        <v>577</v>
      </c>
      <c r="I221" t="s">
        <v>578</v>
      </c>
      <c r="J221" t="s">
        <v>579</v>
      </c>
      <c r="L221" s="125">
        <f t="shared" si="10"/>
        <v>44615</v>
      </c>
      <c r="M221" s="125">
        <v>44979</v>
      </c>
      <c r="N221" s="126">
        <f t="shared" si="9"/>
        <v>44979</v>
      </c>
      <c r="Q221" t="s">
        <v>566</v>
      </c>
      <c r="R221" t="s">
        <v>567</v>
      </c>
      <c r="S221" t="s">
        <v>667</v>
      </c>
      <c r="T221" t="s">
        <v>568</v>
      </c>
    </row>
    <row r="222" spans="1:20" ht="15.75" hidden="1" outlineLevel="1" x14ac:dyDescent="0.25">
      <c r="A222">
        <f t="shared" si="8"/>
        <v>173</v>
      </c>
      <c r="B222" t="s">
        <v>560</v>
      </c>
      <c r="C222" t="s">
        <v>561</v>
      </c>
      <c r="D222" s="47" t="s">
        <v>666</v>
      </c>
      <c r="E222" s="127" t="s">
        <v>662</v>
      </c>
      <c r="F222" t="s">
        <v>576</v>
      </c>
      <c r="G222" t="s">
        <v>565</v>
      </c>
      <c r="H222" t="s">
        <v>577</v>
      </c>
      <c r="I222" t="s">
        <v>578</v>
      </c>
      <c r="J222" t="s">
        <v>579</v>
      </c>
      <c r="L222" s="125">
        <f t="shared" si="10"/>
        <v>44588</v>
      </c>
      <c r="M222" s="125">
        <v>44952</v>
      </c>
      <c r="N222" s="126">
        <f t="shared" si="9"/>
        <v>44952</v>
      </c>
      <c r="Q222" t="s">
        <v>566</v>
      </c>
      <c r="R222" t="s">
        <v>567</v>
      </c>
      <c r="S222" t="s">
        <v>667</v>
      </c>
      <c r="T222" t="s">
        <v>568</v>
      </c>
    </row>
    <row r="223" spans="1:20" ht="15.75" hidden="1" outlineLevel="1" x14ac:dyDescent="0.25">
      <c r="A223">
        <f t="shared" si="8"/>
        <v>174</v>
      </c>
      <c r="B223" t="s">
        <v>560</v>
      </c>
      <c r="C223" t="s">
        <v>561</v>
      </c>
      <c r="D223" s="47" t="s">
        <v>666</v>
      </c>
      <c r="E223" s="127" t="s">
        <v>663</v>
      </c>
      <c r="F223" t="s">
        <v>576</v>
      </c>
      <c r="G223" t="s">
        <v>565</v>
      </c>
      <c r="H223" t="s">
        <v>577</v>
      </c>
      <c r="I223" t="s">
        <v>578</v>
      </c>
      <c r="J223" t="s">
        <v>579</v>
      </c>
      <c r="L223" s="125">
        <f t="shared" si="10"/>
        <v>44615</v>
      </c>
      <c r="M223" s="125">
        <v>44979</v>
      </c>
      <c r="N223" s="126">
        <f t="shared" si="9"/>
        <v>44979</v>
      </c>
      <c r="Q223" t="s">
        <v>566</v>
      </c>
      <c r="R223" t="s">
        <v>567</v>
      </c>
      <c r="S223" t="s">
        <v>667</v>
      </c>
      <c r="T223" t="s">
        <v>568</v>
      </c>
    </row>
    <row r="224" spans="1:20" ht="15.75" hidden="1" outlineLevel="1" x14ac:dyDescent="0.25">
      <c r="A224">
        <f t="shared" si="8"/>
        <v>175</v>
      </c>
      <c r="B224" t="s">
        <v>560</v>
      </c>
      <c r="C224" t="s">
        <v>561</v>
      </c>
      <c r="D224" s="47" t="s">
        <v>666</v>
      </c>
      <c r="E224" s="127" t="s">
        <v>664</v>
      </c>
      <c r="F224" t="s">
        <v>576</v>
      </c>
      <c r="G224" t="s">
        <v>565</v>
      </c>
      <c r="H224" t="s">
        <v>577</v>
      </c>
      <c r="I224" t="s">
        <v>578</v>
      </c>
      <c r="J224" t="s">
        <v>579</v>
      </c>
      <c r="L224" s="125">
        <f t="shared" si="10"/>
        <v>44550</v>
      </c>
      <c r="M224" s="125">
        <v>44914</v>
      </c>
      <c r="N224" s="126">
        <f t="shared" si="9"/>
        <v>44914</v>
      </c>
      <c r="Q224" t="s">
        <v>566</v>
      </c>
      <c r="R224" t="s">
        <v>567</v>
      </c>
      <c r="S224" t="s">
        <v>667</v>
      </c>
      <c r="T224" t="s">
        <v>568</v>
      </c>
    </row>
    <row r="225" spans="1:20" ht="15.75" hidden="1" outlineLevel="1" x14ac:dyDescent="0.25">
      <c r="A225">
        <f t="shared" si="8"/>
        <v>176</v>
      </c>
      <c r="B225" t="s">
        <v>560</v>
      </c>
      <c r="C225" t="s">
        <v>561</v>
      </c>
      <c r="D225" s="47" t="s">
        <v>666</v>
      </c>
      <c r="E225" s="127" t="s">
        <v>665</v>
      </c>
      <c r="F225" t="s">
        <v>576</v>
      </c>
      <c r="G225" t="s">
        <v>565</v>
      </c>
      <c r="H225" t="s">
        <v>577</v>
      </c>
      <c r="I225" t="s">
        <v>578</v>
      </c>
      <c r="J225" t="s">
        <v>579</v>
      </c>
      <c r="L225" s="125">
        <f t="shared" si="10"/>
        <v>44652</v>
      </c>
      <c r="M225" s="125">
        <v>45016</v>
      </c>
      <c r="N225" s="126">
        <f t="shared" si="9"/>
        <v>45016</v>
      </c>
      <c r="Q225" t="s">
        <v>566</v>
      </c>
      <c r="R225" t="s">
        <v>567</v>
      </c>
      <c r="S225" t="s">
        <v>667</v>
      </c>
      <c r="T225" t="s">
        <v>568</v>
      </c>
    </row>
    <row r="226" spans="1:20" ht="15.75" hidden="1" outlineLevel="1" x14ac:dyDescent="0.25">
      <c r="A226">
        <f t="shared" si="8"/>
        <v>177</v>
      </c>
      <c r="B226" t="s">
        <v>560</v>
      </c>
      <c r="C226" t="s">
        <v>561</v>
      </c>
      <c r="D226" s="47" t="s">
        <v>668</v>
      </c>
      <c r="E226" s="127" t="s">
        <v>575</v>
      </c>
      <c r="F226" t="s">
        <v>576</v>
      </c>
      <c r="G226" t="s">
        <v>565</v>
      </c>
      <c r="H226" t="s">
        <v>577</v>
      </c>
      <c r="I226" t="s">
        <v>578</v>
      </c>
      <c r="J226" t="s">
        <v>579</v>
      </c>
      <c r="L226" s="125">
        <v>44562</v>
      </c>
      <c r="M226" s="125">
        <v>44926</v>
      </c>
      <c r="N226" s="126">
        <f t="shared" si="9"/>
        <v>44926</v>
      </c>
      <c r="Q226" t="s">
        <v>566</v>
      </c>
      <c r="R226" t="s">
        <v>567</v>
      </c>
      <c r="S226" t="s">
        <v>667</v>
      </c>
      <c r="T226" t="s">
        <v>568</v>
      </c>
    </row>
    <row r="227" spans="1:20" ht="15.75" hidden="1" outlineLevel="1" x14ac:dyDescent="0.25">
      <c r="A227">
        <f t="shared" si="8"/>
        <v>178</v>
      </c>
      <c r="B227" t="s">
        <v>560</v>
      </c>
      <c r="C227" t="s">
        <v>561</v>
      </c>
      <c r="D227" s="47" t="s">
        <v>668</v>
      </c>
      <c r="E227" s="127" t="s">
        <v>580</v>
      </c>
      <c r="F227" t="s">
        <v>576</v>
      </c>
      <c r="G227" t="s">
        <v>565</v>
      </c>
      <c r="H227" t="s">
        <v>577</v>
      </c>
      <c r="I227" t="s">
        <v>578</v>
      </c>
      <c r="J227" t="s">
        <v>579</v>
      </c>
      <c r="L227" s="125">
        <v>44562</v>
      </c>
      <c r="M227" s="125">
        <v>44926</v>
      </c>
      <c r="N227" s="126">
        <f t="shared" si="9"/>
        <v>44926</v>
      </c>
      <c r="Q227" t="s">
        <v>566</v>
      </c>
      <c r="R227" t="s">
        <v>567</v>
      </c>
      <c r="S227" t="s">
        <v>667</v>
      </c>
      <c r="T227" t="s">
        <v>568</v>
      </c>
    </row>
    <row r="228" spans="1:20" ht="15.75" hidden="1" outlineLevel="1" x14ac:dyDescent="0.25">
      <c r="A228">
        <f t="shared" si="8"/>
        <v>179</v>
      </c>
      <c r="B228" t="s">
        <v>560</v>
      </c>
      <c r="C228" t="s">
        <v>561</v>
      </c>
      <c r="D228" s="47" t="s">
        <v>668</v>
      </c>
      <c r="E228" s="127" t="s">
        <v>581</v>
      </c>
      <c r="F228" t="s">
        <v>576</v>
      </c>
      <c r="G228" t="s">
        <v>565</v>
      </c>
      <c r="H228" t="s">
        <v>577</v>
      </c>
      <c r="I228" t="s">
        <v>578</v>
      </c>
      <c r="J228" t="s">
        <v>579</v>
      </c>
      <c r="L228" s="125">
        <v>44562</v>
      </c>
      <c r="M228" s="125">
        <v>44926</v>
      </c>
      <c r="N228" s="126">
        <f t="shared" si="9"/>
        <v>44926</v>
      </c>
      <c r="Q228" t="s">
        <v>566</v>
      </c>
      <c r="R228" t="s">
        <v>567</v>
      </c>
      <c r="S228" t="s">
        <v>667</v>
      </c>
      <c r="T228" t="s">
        <v>568</v>
      </c>
    </row>
    <row r="229" spans="1:20" ht="15.75" hidden="1" outlineLevel="1" x14ac:dyDescent="0.25">
      <c r="A229">
        <f t="shared" si="8"/>
        <v>180</v>
      </c>
      <c r="B229" t="s">
        <v>560</v>
      </c>
      <c r="C229" t="s">
        <v>561</v>
      </c>
      <c r="D229" s="47" t="s">
        <v>668</v>
      </c>
      <c r="E229" s="127" t="s">
        <v>582</v>
      </c>
      <c r="F229" t="s">
        <v>576</v>
      </c>
      <c r="G229" t="s">
        <v>565</v>
      </c>
      <c r="H229" t="s">
        <v>577</v>
      </c>
      <c r="I229" t="s">
        <v>578</v>
      </c>
      <c r="J229" t="s">
        <v>579</v>
      </c>
      <c r="L229" s="125">
        <v>44562</v>
      </c>
      <c r="M229" s="125">
        <v>44926</v>
      </c>
      <c r="N229" s="126">
        <f t="shared" si="9"/>
        <v>44926</v>
      </c>
      <c r="Q229" t="s">
        <v>566</v>
      </c>
      <c r="R229" t="s">
        <v>567</v>
      </c>
      <c r="S229" t="s">
        <v>667</v>
      </c>
      <c r="T229" t="s">
        <v>568</v>
      </c>
    </row>
    <row r="230" spans="1:20" ht="15.75" hidden="1" outlineLevel="1" x14ac:dyDescent="0.25">
      <c r="A230">
        <f t="shared" si="8"/>
        <v>181</v>
      </c>
      <c r="B230" t="s">
        <v>560</v>
      </c>
      <c r="C230" t="s">
        <v>561</v>
      </c>
      <c r="D230" s="47" t="s">
        <v>668</v>
      </c>
      <c r="E230" s="127" t="s">
        <v>583</v>
      </c>
      <c r="F230" t="s">
        <v>576</v>
      </c>
      <c r="G230" t="s">
        <v>565</v>
      </c>
      <c r="H230" t="s">
        <v>577</v>
      </c>
      <c r="I230" t="s">
        <v>578</v>
      </c>
      <c r="J230" t="s">
        <v>579</v>
      </c>
      <c r="L230" s="125">
        <v>44562</v>
      </c>
      <c r="M230" s="125">
        <v>44926</v>
      </c>
      <c r="N230" s="126">
        <f t="shared" si="9"/>
        <v>44926</v>
      </c>
      <c r="Q230" t="s">
        <v>566</v>
      </c>
      <c r="R230" t="s">
        <v>567</v>
      </c>
      <c r="S230" t="s">
        <v>667</v>
      </c>
      <c r="T230" t="s">
        <v>568</v>
      </c>
    </row>
    <row r="231" spans="1:20" ht="15.75" hidden="1" outlineLevel="1" x14ac:dyDescent="0.25">
      <c r="A231">
        <f t="shared" si="8"/>
        <v>182</v>
      </c>
      <c r="B231" t="s">
        <v>560</v>
      </c>
      <c r="C231" t="s">
        <v>561</v>
      </c>
      <c r="D231" s="47" t="s">
        <v>668</v>
      </c>
      <c r="E231" s="127" t="s">
        <v>584</v>
      </c>
      <c r="F231" t="s">
        <v>576</v>
      </c>
      <c r="G231" t="s">
        <v>565</v>
      </c>
      <c r="H231" t="s">
        <v>577</v>
      </c>
      <c r="I231" t="s">
        <v>578</v>
      </c>
      <c r="J231" t="s">
        <v>579</v>
      </c>
      <c r="L231" s="125">
        <v>44562</v>
      </c>
      <c r="M231" s="125">
        <v>44926</v>
      </c>
      <c r="N231" s="126">
        <f t="shared" si="9"/>
        <v>44926</v>
      </c>
      <c r="Q231" t="s">
        <v>566</v>
      </c>
      <c r="R231" t="s">
        <v>567</v>
      </c>
      <c r="S231" t="s">
        <v>667</v>
      </c>
      <c r="T231" t="s">
        <v>568</v>
      </c>
    </row>
    <row r="232" spans="1:20" ht="15.75" hidden="1" outlineLevel="1" x14ac:dyDescent="0.25">
      <c r="A232">
        <f t="shared" si="8"/>
        <v>183</v>
      </c>
      <c r="B232" t="s">
        <v>560</v>
      </c>
      <c r="C232" t="s">
        <v>561</v>
      </c>
      <c r="D232" s="47" t="s">
        <v>668</v>
      </c>
      <c r="E232" s="127" t="s">
        <v>585</v>
      </c>
      <c r="F232" t="s">
        <v>576</v>
      </c>
      <c r="G232" t="s">
        <v>565</v>
      </c>
      <c r="H232" t="s">
        <v>577</v>
      </c>
      <c r="I232" t="s">
        <v>578</v>
      </c>
      <c r="J232" t="s">
        <v>579</v>
      </c>
      <c r="L232" s="125">
        <v>44562</v>
      </c>
      <c r="M232" s="125">
        <v>44926</v>
      </c>
      <c r="N232" s="126">
        <f t="shared" si="9"/>
        <v>44926</v>
      </c>
      <c r="Q232" t="s">
        <v>566</v>
      </c>
      <c r="R232" t="s">
        <v>567</v>
      </c>
      <c r="S232" t="s">
        <v>667</v>
      </c>
      <c r="T232" t="s">
        <v>568</v>
      </c>
    </row>
    <row r="233" spans="1:20" ht="15.75" hidden="1" outlineLevel="1" x14ac:dyDescent="0.25">
      <c r="A233">
        <f t="shared" si="8"/>
        <v>184</v>
      </c>
      <c r="B233" t="s">
        <v>560</v>
      </c>
      <c r="C233" t="s">
        <v>561</v>
      </c>
      <c r="D233" s="47" t="s">
        <v>668</v>
      </c>
      <c r="E233" s="127" t="s">
        <v>586</v>
      </c>
      <c r="F233" t="s">
        <v>576</v>
      </c>
      <c r="G233" t="s">
        <v>565</v>
      </c>
      <c r="H233" t="s">
        <v>577</v>
      </c>
      <c r="I233" t="s">
        <v>578</v>
      </c>
      <c r="J233" t="s">
        <v>579</v>
      </c>
      <c r="L233" s="125">
        <v>44562</v>
      </c>
      <c r="M233" s="125">
        <v>44926</v>
      </c>
      <c r="N233" s="126">
        <f t="shared" si="9"/>
        <v>44926</v>
      </c>
      <c r="Q233" t="s">
        <v>566</v>
      </c>
      <c r="R233" t="s">
        <v>567</v>
      </c>
      <c r="S233" t="s">
        <v>667</v>
      </c>
      <c r="T233" t="s">
        <v>568</v>
      </c>
    </row>
    <row r="234" spans="1:20" ht="15.75" hidden="1" outlineLevel="1" x14ac:dyDescent="0.25">
      <c r="A234">
        <f t="shared" si="8"/>
        <v>185</v>
      </c>
      <c r="B234" t="s">
        <v>560</v>
      </c>
      <c r="C234" t="s">
        <v>561</v>
      </c>
      <c r="D234" s="47" t="s">
        <v>668</v>
      </c>
      <c r="E234" s="127" t="s">
        <v>587</v>
      </c>
      <c r="F234" t="s">
        <v>576</v>
      </c>
      <c r="G234" t="s">
        <v>565</v>
      </c>
      <c r="H234" t="s">
        <v>577</v>
      </c>
      <c r="I234" t="s">
        <v>578</v>
      </c>
      <c r="J234" t="s">
        <v>579</v>
      </c>
      <c r="L234" s="125">
        <v>44562</v>
      </c>
      <c r="M234" s="125">
        <v>44926</v>
      </c>
      <c r="N234" s="126">
        <f t="shared" si="9"/>
        <v>44926</v>
      </c>
      <c r="Q234" t="s">
        <v>566</v>
      </c>
      <c r="R234" t="s">
        <v>567</v>
      </c>
      <c r="S234" t="s">
        <v>667</v>
      </c>
      <c r="T234" t="s">
        <v>568</v>
      </c>
    </row>
    <row r="235" spans="1:20" ht="15.75" hidden="1" outlineLevel="1" x14ac:dyDescent="0.25">
      <c r="A235">
        <f t="shared" si="8"/>
        <v>186</v>
      </c>
      <c r="B235" t="s">
        <v>560</v>
      </c>
      <c r="C235" t="s">
        <v>561</v>
      </c>
      <c r="D235" s="47" t="s">
        <v>668</v>
      </c>
      <c r="E235" s="127" t="s">
        <v>588</v>
      </c>
      <c r="F235" t="s">
        <v>576</v>
      </c>
      <c r="G235" t="s">
        <v>565</v>
      </c>
      <c r="H235" t="s">
        <v>577</v>
      </c>
      <c r="I235" t="s">
        <v>578</v>
      </c>
      <c r="J235" t="s">
        <v>579</v>
      </c>
      <c r="L235" s="125">
        <v>44562</v>
      </c>
      <c r="M235" s="125">
        <v>44926</v>
      </c>
      <c r="N235" s="126">
        <f t="shared" si="9"/>
        <v>44926</v>
      </c>
      <c r="Q235" t="s">
        <v>566</v>
      </c>
      <c r="R235" t="s">
        <v>567</v>
      </c>
      <c r="S235" t="s">
        <v>667</v>
      </c>
      <c r="T235" t="s">
        <v>568</v>
      </c>
    </row>
    <row r="236" spans="1:20" ht="15.75" hidden="1" outlineLevel="1" x14ac:dyDescent="0.25">
      <c r="A236">
        <f t="shared" si="8"/>
        <v>187</v>
      </c>
      <c r="B236" t="s">
        <v>560</v>
      </c>
      <c r="C236" t="s">
        <v>561</v>
      </c>
      <c r="D236" s="47" t="s">
        <v>668</v>
      </c>
      <c r="E236" s="127" t="s">
        <v>589</v>
      </c>
      <c r="F236" t="s">
        <v>576</v>
      </c>
      <c r="G236" t="s">
        <v>565</v>
      </c>
      <c r="H236" t="s">
        <v>577</v>
      </c>
      <c r="I236" t="s">
        <v>578</v>
      </c>
      <c r="J236" t="s">
        <v>579</v>
      </c>
      <c r="L236" s="125">
        <v>44562</v>
      </c>
      <c r="M236" s="125">
        <v>44926</v>
      </c>
      <c r="N236" s="126">
        <f t="shared" si="9"/>
        <v>44926</v>
      </c>
      <c r="Q236" t="s">
        <v>566</v>
      </c>
      <c r="R236" t="s">
        <v>567</v>
      </c>
      <c r="S236" t="s">
        <v>667</v>
      </c>
      <c r="T236" t="s">
        <v>568</v>
      </c>
    </row>
    <row r="237" spans="1:20" ht="15.75" hidden="1" outlineLevel="1" x14ac:dyDescent="0.25">
      <c r="A237">
        <f t="shared" si="8"/>
        <v>188</v>
      </c>
      <c r="B237" t="s">
        <v>560</v>
      </c>
      <c r="C237" t="s">
        <v>561</v>
      </c>
      <c r="D237" s="47" t="s">
        <v>668</v>
      </c>
      <c r="E237" s="127" t="s">
        <v>590</v>
      </c>
      <c r="F237" t="s">
        <v>576</v>
      </c>
      <c r="G237" t="s">
        <v>565</v>
      </c>
      <c r="H237" t="s">
        <v>577</v>
      </c>
      <c r="I237" t="s">
        <v>578</v>
      </c>
      <c r="J237" t="s">
        <v>579</v>
      </c>
      <c r="L237" s="125">
        <v>44562</v>
      </c>
      <c r="M237" s="125">
        <v>44926</v>
      </c>
      <c r="N237" s="126">
        <f t="shared" si="9"/>
        <v>44926</v>
      </c>
      <c r="Q237" t="s">
        <v>566</v>
      </c>
      <c r="R237" t="s">
        <v>567</v>
      </c>
      <c r="S237" t="s">
        <v>667</v>
      </c>
      <c r="T237" t="s">
        <v>568</v>
      </c>
    </row>
    <row r="238" spans="1:20" ht="15.75" hidden="1" outlineLevel="1" x14ac:dyDescent="0.25">
      <c r="A238">
        <f t="shared" si="8"/>
        <v>189</v>
      </c>
      <c r="B238" t="s">
        <v>560</v>
      </c>
      <c r="C238" t="s">
        <v>561</v>
      </c>
      <c r="D238" s="47" t="s">
        <v>668</v>
      </c>
      <c r="E238" s="127" t="s">
        <v>591</v>
      </c>
      <c r="F238" t="s">
        <v>576</v>
      </c>
      <c r="G238" t="s">
        <v>565</v>
      </c>
      <c r="H238" t="s">
        <v>577</v>
      </c>
      <c r="I238" t="s">
        <v>578</v>
      </c>
      <c r="J238" t="s">
        <v>579</v>
      </c>
      <c r="L238" s="125">
        <v>44562</v>
      </c>
      <c r="M238" s="125">
        <v>44926</v>
      </c>
      <c r="N238" s="126">
        <f t="shared" si="9"/>
        <v>44926</v>
      </c>
      <c r="Q238" t="s">
        <v>566</v>
      </c>
      <c r="R238" t="s">
        <v>567</v>
      </c>
      <c r="S238" t="s">
        <v>667</v>
      </c>
      <c r="T238" t="s">
        <v>568</v>
      </c>
    </row>
    <row r="239" spans="1:20" ht="15.75" hidden="1" outlineLevel="1" x14ac:dyDescent="0.25">
      <c r="A239">
        <f t="shared" si="8"/>
        <v>190</v>
      </c>
      <c r="B239" t="s">
        <v>560</v>
      </c>
      <c r="C239" t="s">
        <v>561</v>
      </c>
      <c r="D239" s="47" t="s">
        <v>668</v>
      </c>
      <c r="E239" s="127" t="s">
        <v>592</v>
      </c>
      <c r="F239" t="s">
        <v>576</v>
      </c>
      <c r="G239" t="s">
        <v>565</v>
      </c>
      <c r="H239" t="s">
        <v>577</v>
      </c>
      <c r="I239" t="s">
        <v>578</v>
      </c>
      <c r="J239" t="s">
        <v>579</v>
      </c>
      <c r="L239" s="125">
        <v>44562</v>
      </c>
      <c r="M239" s="125">
        <v>44926</v>
      </c>
      <c r="N239" s="126">
        <f t="shared" si="9"/>
        <v>44926</v>
      </c>
      <c r="Q239" t="s">
        <v>566</v>
      </c>
      <c r="R239" t="s">
        <v>567</v>
      </c>
      <c r="S239" t="s">
        <v>667</v>
      </c>
      <c r="T239" t="s">
        <v>568</v>
      </c>
    </row>
    <row r="240" spans="1:20" ht="15.75" hidden="1" outlineLevel="1" x14ac:dyDescent="0.25">
      <c r="A240">
        <f t="shared" si="8"/>
        <v>191</v>
      </c>
      <c r="B240" t="s">
        <v>560</v>
      </c>
      <c r="C240" t="s">
        <v>561</v>
      </c>
      <c r="D240" s="47" t="s">
        <v>668</v>
      </c>
      <c r="E240" s="127" t="s">
        <v>593</v>
      </c>
      <c r="F240" t="s">
        <v>576</v>
      </c>
      <c r="G240" t="s">
        <v>565</v>
      </c>
      <c r="H240" t="s">
        <v>577</v>
      </c>
      <c r="I240" t="s">
        <v>578</v>
      </c>
      <c r="J240" t="s">
        <v>579</v>
      </c>
      <c r="L240" s="125">
        <v>44562</v>
      </c>
      <c r="M240" s="125">
        <v>44926</v>
      </c>
      <c r="N240" s="126">
        <f t="shared" si="9"/>
        <v>44926</v>
      </c>
      <c r="Q240" t="s">
        <v>566</v>
      </c>
      <c r="R240" t="s">
        <v>567</v>
      </c>
      <c r="S240" t="s">
        <v>667</v>
      </c>
      <c r="T240" t="s">
        <v>568</v>
      </c>
    </row>
    <row r="241" spans="1:20" ht="15.75" hidden="1" outlineLevel="1" x14ac:dyDescent="0.25">
      <c r="A241">
        <f t="shared" si="8"/>
        <v>192</v>
      </c>
      <c r="B241" t="s">
        <v>560</v>
      </c>
      <c r="C241" t="s">
        <v>561</v>
      </c>
      <c r="D241" s="47" t="s">
        <v>668</v>
      </c>
      <c r="E241" s="127" t="s">
        <v>594</v>
      </c>
      <c r="F241" t="s">
        <v>576</v>
      </c>
      <c r="G241" t="s">
        <v>565</v>
      </c>
      <c r="H241" t="s">
        <v>577</v>
      </c>
      <c r="I241" t="s">
        <v>578</v>
      </c>
      <c r="J241" t="s">
        <v>579</v>
      </c>
      <c r="L241" s="125">
        <v>44562</v>
      </c>
      <c r="M241" s="125">
        <v>44926</v>
      </c>
      <c r="N241" s="126">
        <f t="shared" si="9"/>
        <v>44926</v>
      </c>
      <c r="Q241" t="s">
        <v>566</v>
      </c>
      <c r="R241" t="s">
        <v>567</v>
      </c>
      <c r="S241" t="s">
        <v>667</v>
      </c>
      <c r="T241" t="s">
        <v>568</v>
      </c>
    </row>
    <row r="242" spans="1:20" ht="15.75" hidden="1" outlineLevel="1" x14ac:dyDescent="0.25">
      <c r="A242">
        <f t="shared" si="8"/>
        <v>193</v>
      </c>
      <c r="B242" t="s">
        <v>560</v>
      </c>
      <c r="C242" t="s">
        <v>561</v>
      </c>
      <c r="D242" s="47" t="s">
        <v>668</v>
      </c>
      <c r="E242" s="127" t="s">
        <v>595</v>
      </c>
      <c r="F242" t="s">
        <v>576</v>
      </c>
      <c r="G242" t="s">
        <v>565</v>
      </c>
      <c r="H242" t="s">
        <v>577</v>
      </c>
      <c r="I242" t="s">
        <v>578</v>
      </c>
      <c r="J242" t="s">
        <v>579</v>
      </c>
      <c r="L242" s="125">
        <v>44562</v>
      </c>
      <c r="M242" s="125">
        <v>44926</v>
      </c>
      <c r="N242" s="126">
        <f t="shared" si="9"/>
        <v>44926</v>
      </c>
      <c r="Q242" t="s">
        <v>566</v>
      </c>
      <c r="R242" t="s">
        <v>567</v>
      </c>
      <c r="S242" t="s">
        <v>667</v>
      </c>
      <c r="T242" t="s">
        <v>568</v>
      </c>
    </row>
    <row r="243" spans="1:20" ht="15.75" hidden="1" outlineLevel="1" x14ac:dyDescent="0.25">
      <c r="A243">
        <f t="shared" si="8"/>
        <v>194</v>
      </c>
      <c r="B243" t="s">
        <v>560</v>
      </c>
      <c r="C243" t="s">
        <v>561</v>
      </c>
      <c r="D243" s="47" t="s">
        <v>668</v>
      </c>
      <c r="E243" s="127" t="s">
        <v>596</v>
      </c>
      <c r="F243" t="s">
        <v>576</v>
      </c>
      <c r="G243" t="s">
        <v>565</v>
      </c>
      <c r="H243" t="s">
        <v>577</v>
      </c>
      <c r="I243" t="s">
        <v>578</v>
      </c>
      <c r="J243" t="s">
        <v>579</v>
      </c>
      <c r="L243" s="125">
        <v>44562</v>
      </c>
      <c r="M243" s="125">
        <v>44926</v>
      </c>
      <c r="N243" s="126">
        <f t="shared" si="9"/>
        <v>44926</v>
      </c>
      <c r="Q243" t="s">
        <v>566</v>
      </c>
      <c r="R243" t="s">
        <v>567</v>
      </c>
      <c r="S243" t="s">
        <v>667</v>
      </c>
      <c r="T243" t="s">
        <v>568</v>
      </c>
    </row>
    <row r="244" spans="1:20" ht="15.75" hidden="1" outlineLevel="1" x14ac:dyDescent="0.25">
      <c r="A244">
        <f t="shared" ref="A244:A307" si="11">A243+1</f>
        <v>195</v>
      </c>
      <c r="B244" t="s">
        <v>560</v>
      </c>
      <c r="C244" t="s">
        <v>561</v>
      </c>
      <c r="D244" s="47" t="s">
        <v>668</v>
      </c>
      <c r="E244" s="127" t="s">
        <v>597</v>
      </c>
      <c r="F244" t="s">
        <v>576</v>
      </c>
      <c r="G244" t="s">
        <v>565</v>
      </c>
      <c r="H244" t="s">
        <v>577</v>
      </c>
      <c r="I244" t="s">
        <v>578</v>
      </c>
      <c r="J244" t="s">
        <v>579</v>
      </c>
      <c r="L244" s="125">
        <v>44562</v>
      </c>
      <c r="M244" s="125">
        <v>44926</v>
      </c>
      <c r="N244" s="126">
        <f t="shared" ref="N244:N307" si="12">M244</f>
        <v>44926</v>
      </c>
      <c r="Q244" t="s">
        <v>566</v>
      </c>
      <c r="R244" t="s">
        <v>567</v>
      </c>
      <c r="S244" t="s">
        <v>667</v>
      </c>
      <c r="T244" t="s">
        <v>568</v>
      </c>
    </row>
    <row r="245" spans="1:20" ht="15.75" hidden="1" outlineLevel="1" x14ac:dyDescent="0.25">
      <c r="A245">
        <f t="shared" si="11"/>
        <v>196</v>
      </c>
      <c r="B245" t="s">
        <v>560</v>
      </c>
      <c r="C245" t="s">
        <v>561</v>
      </c>
      <c r="D245" s="47" t="s">
        <v>668</v>
      </c>
      <c r="E245" s="127" t="s">
        <v>598</v>
      </c>
      <c r="F245" t="s">
        <v>576</v>
      </c>
      <c r="G245" t="s">
        <v>565</v>
      </c>
      <c r="H245" t="s">
        <v>577</v>
      </c>
      <c r="I245" t="s">
        <v>578</v>
      </c>
      <c r="J245" t="s">
        <v>579</v>
      </c>
      <c r="L245" s="125">
        <v>44562</v>
      </c>
      <c r="M245" s="125">
        <v>44926</v>
      </c>
      <c r="N245" s="126">
        <f t="shared" si="12"/>
        <v>44926</v>
      </c>
      <c r="Q245" t="s">
        <v>566</v>
      </c>
      <c r="R245" t="s">
        <v>567</v>
      </c>
      <c r="S245" t="s">
        <v>667</v>
      </c>
      <c r="T245" t="s">
        <v>568</v>
      </c>
    </row>
    <row r="246" spans="1:20" ht="15.75" hidden="1" outlineLevel="1" x14ac:dyDescent="0.25">
      <c r="A246">
        <f t="shared" si="11"/>
        <v>197</v>
      </c>
      <c r="B246" t="s">
        <v>560</v>
      </c>
      <c r="C246" t="s">
        <v>561</v>
      </c>
      <c r="D246" s="47" t="s">
        <v>668</v>
      </c>
      <c r="E246" s="127" t="s">
        <v>599</v>
      </c>
      <c r="F246" t="s">
        <v>576</v>
      </c>
      <c r="G246" t="s">
        <v>565</v>
      </c>
      <c r="H246" t="s">
        <v>577</v>
      </c>
      <c r="I246" t="s">
        <v>578</v>
      </c>
      <c r="J246" t="s">
        <v>579</v>
      </c>
      <c r="L246" s="125">
        <v>44562</v>
      </c>
      <c r="M246" s="125">
        <v>44926</v>
      </c>
      <c r="N246" s="126">
        <f t="shared" si="12"/>
        <v>44926</v>
      </c>
      <c r="Q246" t="s">
        <v>566</v>
      </c>
      <c r="R246" t="s">
        <v>567</v>
      </c>
      <c r="S246" t="s">
        <v>667</v>
      </c>
      <c r="T246" t="s">
        <v>568</v>
      </c>
    </row>
    <row r="247" spans="1:20" ht="15.75" hidden="1" outlineLevel="1" x14ac:dyDescent="0.25">
      <c r="A247">
        <f t="shared" si="11"/>
        <v>198</v>
      </c>
      <c r="B247" t="s">
        <v>560</v>
      </c>
      <c r="C247" t="s">
        <v>561</v>
      </c>
      <c r="D247" s="47" t="s">
        <v>668</v>
      </c>
      <c r="E247" s="127" t="s">
        <v>600</v>
      </c>
      <c r="F247" t="s">
        <v>576</v>
      </c>
      <c r="G247" t="s">
        <v>565</v>
      </c>
      <c r="H247" t="s">
        <v>577</v>
      </c>
      <c r="I247" t="s">
        <v>578</v>
      </c>
      <c r="J247" t="s">
        <v>579</v>
      </c>
      <c r="L247" s="125">
        <v>44562</v>
      </c>
      <c r="M247" s="125">
        <v>44926</v>
      </c>
      <c r="N247" s="126">
        <f t="shared" si="12"/>
        <v>44926</v>
      </c>
      <c r="Q247" t="s">
        <v>566</v>
      </c>
      <c r="R247" t="s">
        <v>567</v>
      </c>
      <c r="S247" t="s">
        <v>667</v>
      </c>
      <c r="T247" t="s">
        <v>568</v>
      </c>
    </row>
    <row r="248" spans="1:20" ht="15.75" hidden="1" outlineLevel="1" x14ac:dyDescent="0.25">
      <c r="A248">
        <f t="shared" si="11"/>
        <v>199</v>
      </c>
      <c r="B248" t="s">
        <v>560</v>
      </c>
      <c r="C248" t="s">
        <v>561</v>
      </c>
      <c r="D248" s="47" t="s">
        <v>668</v>
      </c>
      <c r="E248" s="127" t="s">
        <v>601</v>
      </c>
      <c r="F248" t="s">
        <v>576</v>
      </c>
      <c r="G248" t="s">
        <v>565</v>
      </c>
      <c r="H248" t="s">
        <v>577</v>
      </c>
      <c r="I248" t="s">
        <v>578</v>
      </c>
      <c r="J248" t="s">
        <v>579</v>
      </c>
      <c r="L248" s="125">
        <v>44562</v>
      </c>
      <c r="M248" s="125">
        <v>44926</v>
      </c>
      <c r="N248" s="126">
        <f t="shared" si="12"/>
        <v>44926</v>
      </c>
      <c r="Q248" t="s">
        <v>566</v>
      </c>
      <c r="R248" t="s">
        <v>567</v>
      </c>
      <c r="S248" t="s">
        <v>667</v>
      </c>
      <c r="T248" t="s">
        <v>568</v>
      </c>
    </row>
    <row r="249" spans="1:20" ht="15.75" hidden="1" outlineLevel="1" x14ac:dyDescent="0.25">
      <c r="A249">
        <f t="shared" si="11"/>
        <v>200</v>
      </c>
      <c r="B249" t="s">
        <v>560</v>
      </c>
      <c r="C249" t="s">
        <v>561</v>
      </c>
      <c r="D249" s="47" t="s">
        <v>668</v>
      </c>
      <c r="E249" s="127" t="s">
        <v>602</v>
      </c>
      <c r="F249" t="s">
        <v>576</v>
      </c>
      <c r="G249" t="s">
        <v>565</v>
      </c>
      <c r="H249" t="s">
        <v>577</v>
      </c>
      <c r="I249" t="s">
        <v>578</v>
      </c>
      <c r="J249" t="s">
        <v>579</v>
      </c>
      <c r="L249" s="125">
        <v>44562</v>
      </c>
      <c r="M249" s="125">
        <v>44926</v>
      </c>
      <c r="N249" s="126">
        <f t="shared" si="12"/>
        <v>44926</v>
      </c>
      <c r="Q249" t="s">
        <v>566</v>
      </c>
      <c r="R249" t="s">
        <v>567</v>
      </c>
      <c r="S249" t="s">
        <v>667</v>
      </c>
      <c r="T249" t="s">
        <v>568</v>
      </c>
    </row>
    <row r="250" spans="1:20" ht="15.75" hidden="1" outlineLevel="1" x14ac:dyDescent="0.25">
      <c r="A250">
        <f t="shared" si="11"/>
        <v>201</v>
      </c>
      <c r="B250" t="s">
        <v>560</v>
      </c>
      <c r="C250" t="s">
        <v>561</v>
      </c>
      <c r="D250" s="47" t="s">
        <v>668</v>
      </c>
      <c r="E250" s="127" t="s">
        <v>603</v>
      </c>
      <c r="F250" t="s">
        <v>576</v>
      </c>
      <c r="G250" t="s">
        <v>565</v>
      </c>
      <c r="H250" t="s">
        <v>577</v>
      </c>
      <c r="I250" t="s">
        <v>578</v>
      </c>
      <c r="J250" t="s">
        <v>579</v>
      </c>
      <c r="L250" s="125">
        <v>44562</v>
      </c>
      <c r="M250" s="125">
        <v>44926</v>
      </c>
      <c r="N250" s="126">
        <f t="shared" si="12"/>
        <v>44926</v>
      </c>
      <c r="Q250" t="s">
        <v>566</v>
      </c>
      <c r="R250" t="s">
        <v>567</v>
      </c>
      <c r="S250" t="s">
        <v>667</v>
      </c>
      <c r="T250" t="s">
        <v>568</v>
      </c>
    </row>
    <row r="251" spans="1:20" ht="15.75" hidden="1" outlineLevel="1" x14ac:dyDescent="0.25">
      <c r="A251">
        <f t="shared" si="11"/>
        <v>202</v>
      </c>
      <c r="B251" t="s">
        <v>560</v>
      </c>
      <c r="C251" t="s">
        <v>561</v>
      </c>
      <c r="D251" s="47" t="s">
        <v>668</v>
      </c>
      <c r="E251" s="127" t="s">
        <v>604</v>
      </c>
      <c r="F251" t="s">
        <v>576</v>
      </c>
      <c r="G251" t="s">
        <v>565</v>
      </c>
      <c r="H251" t="s">
        <v>577</v>
      </c>
      <c r="I251" t="s">
        <v>578</v>
      </c>
      <c r="J251" t="s">
        <v>579</v>
      </c>
      <c r="L251" s="125">
        <v>44562</v>
      </c>
      <c r="M251" s="125">
        <v>44926</v>
      </c>
      <c r="N251" s="126">
        <f t="shared" si="12"/>
        <v>44926</v>
      </c>
      <c r="Q251" t="s">
        <v>566</v>
      </c>
      <c r="R251" t="s">
        <v>567</v>
      </c>
      <c r="S251" t="s">
        <v>667</v>
      </c>
      <c r="T251" t="s">
        <v>568</v>
      </c>
    </row>
    <row r="252" spans="1:20" ht="15.75" hidden="1" outlineLevel="1" x14ac:dyDescent="0.25">
      <c r="A252">
        <f t="shared" si="11"/>
        <v>203</v>
      </c>
      <c r="B252" t="s">
        <v>560</v>
      </c>
      <c r="C252" t="s">
        <v>561</v>
      </c>
      <c r="D252" s="47" t="s">
        <v>668</v>
      </c>
      <c r="E252" s="127" t="s">
        <v>605</v>
      </c>
      <c r="F252" t="s">
        <v>576</v>
      </c>
      <c r="G252" t="s">
        <v>565</v>
      </c>
      <c r="H252" t="s">
        <v>577</v>
      </c>
      <c r="I252" t="s">
        <v>578</v>
      </c>
      <c r="J252" t="s">
        <v>579</v>
      </c>
      <c r="L252" s="125">
        <v>44562</v>
      </c>
      <c r="M252" s="125">
        <v>44926</v>
      </c>
      <c r="N252" s="126">
        <f t="shared" si="12"/>
        <v>44926</v>
      </c>
      <c r="Q252" t="s">
        <v>566</v>
      </c>
      <c r="R252" t="s">
        <v>567</v>
      </c>
      <c r="S252" t="s">
        <v>667</v>
      </c>
      <c r="T252" t="s">
        <v>568</v>
      </c>
    </row>
    <row r="253" spans="1:20" ht="15.75" hidden="1" outlineLevel="1" x14ac:dyDescent="0.25">
      <c r="A253">
        <f t="shared" si="11"/>
        <v>204</v>
      </c>
      <c r="B253" t="s">
        <v>560</v>
      </c>
      <c r="C253" t="s">
        <v>561</v>
      </c>
      <c r="D253" s="47" t="s">
        <v>668</v>
      </c>
      <c r="E253" s="127" t="s">
        <v>606</v>
      </c>
      <c r="F253" t="s">
        <v>576</v>
      </c>
      <c r="G253" t="s">
        <v>565</v>
      </c>
      <c r="H253" t="s">
        <v>577</v>
      </c>
      <c r="I253" t="s">
        <v>578</v>
      </c>
      <c r="J253" t="s">
        <v>579</v>
      </c>
      <c r="L253" s="125">
        <v>44562</v>
      </c>
      <c r="M253" s="125">
        <v>44926</v>
      </c>
      <c r="N253" s="126">
        <f t="shared" si="12"/>
        <v>44926</v>
      </c>
      <c r="Q253" t="s">
        <v>566</v>
      </c>
      <c r="R253" t="s">
        <v>567</v>
      </c>
      <c r="S253" t="s">
        <v>667</v>
      </c>
      <c r="T253" t="s">
        <v>568</v>
      </c>
    </row>
    <row r="254" spans="1:20" ht="15.75" hidden="1" outlineLevel="1" x14ac:dyDescent="0.25">
      <c r="A254">
        <f t="shared" si="11"/>
        <v>205</v>
      </c>
      <c r="B254" t="s">
        <v>560</v>
      </c>
      <c r="C254" t="s">
        <v>561</v>
      </c>
      <c r="D254" s="47" t="s">
        <v>668</v>
      </c>
      <c r="E254" s="127" t="s">
        <v>607</v>
      </c>
      <c r="F254" t="s">
        <v>576</v>
      </c>
      <c r="G254" t="s">
        <v>565</v>
      </c>
      <c r="H254" t="s">
        <v>577</v>
      </c>
      <c r="I254" t="s">
        <v>578</v>
      </c>
      <c r="J254" t="s">
        <v>579</v>
      </c>
      <c r="L254" s="125">
        <v>44562</v>
      </c>
      <c r="M254" s="125">
        <v>44926</v>
      </c>
      <c r="N254" s="126">
        <f t="shared" si="12"/>
        <v>44926</v>
      </c>
      <c r="Q254" t="s">
        <v>566</v>
      </c>
      <c r="R254" t="s">
        <v>567</v>
      </c>
      <c r="S254" t="s">
        <v>667</v>
      </c>
      <c r="T254" t="s">
        <v>568</v>
      </c>
    </row>
    <row r="255" spans="1:20" ht="15.75" hidden="1" outlineLevel="1" x14ac:dyDescent="0.25">
      <c r="A255">
        <f t="shared" si="11"/>
        <v>206</v>
      </c>
      <c r="B255" t="s">
        <v>560</v>
      </c>
      <c r="C255" t="s">
        <v>561</v>
      </c>
      <c r="D255" s="47" t="s">
        <v>668</v>
      </c>
      <c r="E255" s="127" t="s">
        <v>608</v>
      </c>
      <c r="F255" t="s">
        <v>576</v>
      </c>
      <c r="G255" t="s">
        <v>565</v>
      </c>
      <c r="H255" t="s">
        <v>577</v>
      </c>
      <c r="I255" t="s">
        <v>578</v>
      </c>
      <c r="J255" t="s">
        <v>579</v>
      </c>
      <c r="L255" s="125">
        <v>44562</v>
      </c>
      <c r="M255" s="125">
        <v>44926</v>
      </c>
      <c r="N255" s="126">
        <f t="shared" si="12"/>
        <v>44926</v>
      </c>
      <c r="Q255" t="s">
        <v>566</v>
      </c>
      <c r="R255" t="s">
        <v>567</v>
      </c>
      <c r="S255" t="s">
        <v>667</v>
      </c>
      <c r="T255" t="s">
        <v>568</v>
      </c>
    </row>
    <row r="256" spans="1:20" ht="15.75" hidden="1" outlineLevel="1" x14ac:dyDescent="0.25">
      <c r="A256">
        <f t="shared" si="11"/>
        <v>207</v>
      </c>
      <c r="B256" t="s">
        <v>560</v>
      </c>
      <c r="C256" t="s">
        <v>561</v>
      </c>
      <c r="D256" s="47" t="s">
        <v>668</v>
      </c>
      <c r="E256" s="127" t="s">
        <v>609</v>
      </c>
      <c r="F256" t="s">
        <v>576</v>
      </c>
      <c r="G256" t="s">
        <v>565</v>
      </c>
      <c r="H256" t="s">
        <v>577</v>
      </c>
      <c r="I256" t="s">
        <v>578</v>
      </c>
      <c r="J256" t="s">
        <v>579</v>
      </c>
      <c r="L256" s="125">
        <v>44562</v>
      </c>
      <c r="M256" s="125">
        <v>44926</v>
      </c>
      <c r="N256" s="126">
        <f t="shared" si="12"/>
        <v>44926</v>
      </c>
      <c r="Q256" t="s">
        <v>566</v>
      </c>
      <c r="R256" t="s">
        <v>567</v>
      </c>
      <c r="S256" t="s">
        <v>667</v>
      </c>
      <c r="T256" t="s">
        <v>568</v>
      </c>
    </row>
    <row r="257" spans="1:20" ht="15.75" hidden="1" outlineLevel="1" x14ac:dyDescent="0.25">
      <c r="A257">
        <f t="shared" si="11"/>
        <v>208</v>
      </c>
      <c r="B257" t="s">
        <v>560</v>
      </c>
      <c r="C257" t="s">
        <v>561</v>
      </c>
      <c r="D257" s="47" t="s">
        <v>668</v>
      </c>
      <c r="E257" s="127" t="s">
        <v>610</v>
      </c>
      <c r="F257" t="s">
        <v>576</v>
      </c>
      <c r="G257" t="s">
        <v>565</v>
      </c>
      <c r="H257" t="s">
        <v>577</v>
      </c>
      <c r="I257" t="s">
        <v>578</v>
      </c>
      <c r="J257" t="s">
        <v>579</v>
      </c>
      <c r="L257" s="125">
        <v>44562</v>
      </c>
      <c r="M257" s="125">
        <v>44926</v>
      </c>
      <c r="N257" s="126">
        <f t="shared" si="12"/>
        <v>44926</v>
      </c>
      <c r="Q257" t="s">
        <v>566</v>
      </c>
      <c r="R257" t="s">
        <v>567</v>
      </c>
      <c r="S257" t="s">
        <v>667</v>
      </c>
      <c r="T257" t="s">
        <v>568</v>
      </c>
    </row>
    <row r="258" spans="1:20" ht="15.75" hidden="1" outlineLevel="1" x14ac:dyDescent="0.25">
      <c r="A258">
        <f t="shared" si="11"/>
        <v>209</v>
      </c>
      <c r="B258" t="s">
        <v>560</v>
      </c>
      <c r="C258" t="s">
        <v>561</v>
      </c>
      <c r="D258" s="47" t="s">
        <v>668</v>
      </c>
      <c r="E258" s="127" t="s">
        <v>611</v>
      </c>
      <c r="F258" t="s">
        <v>576</v>
      </c>
      <c r="G258" t="s">
        <v>565</v>
      </c>
      <c r="H258" t="s">
        <v>577</v>
      </c>
      <c r="I258" t="s">
        <v>578</v>
      </c>
      <c r="J258" t="s">
        <v>579</v>
      </c>
      <c r="L258" s="125">
        <v>44562</v>
      </c>
      <c r="M258" s="125">
        <v>44926</v>
      </c>
      <c r="N258" s="126">
        <f t="shared" si="12"/>
        <v>44926</v>
      </c>
      <c r="Q258" t="s">
        <v>566</v>
      </c>
      <c r="R258" t="s">
        <v>567</v>
      </c>
      <c r="S258" t="s">
        <v>667</v>
      </c>
      <c r="T258" t="s">
        <v>568</v>
      </c>
    </row>
    <row r="259" spans="1:20" ht="15.75" hidden="1" outlineLevel="1" x14ac:dyDescent="0.25">
      <c r="A259">
        <f t="shared" si="11"/>
        <v>210</v>
      </c>
      <c r="B259" t="s">
        <v>560</v>
      </c>
      <c r="C259" t="s">
        <v>561</v>
      </c>
      <c r="D259" s="47" t="s">
        <v>668</v>
      </c>
      <c r="E259" s="127" t="s">
        <v>612</v>
      </c>
      <c r="F259" t="s">
        <v>576</v>
      </c>
      <c r="G259" t="s">
        <v>565</v>
      </c>
      <c r="H259" t="s">
        <v>577</v>
      </c>
      <c r="I259" t="s">
        <v>578</v>
      </c>
      <c r="J259" t="s">
        <v>579</v>
      </c>
      <c r="L259" s="125">
        <v>44562</v>
      </c>
      <c r="M259" s="125">
        <v>44926</v>
      </c>
      <c r="N259" s="126">
        <f t="shared" si="12"/>
        <v>44926</v>
      </c>
      <c r="Q259" t="s">
        <v>566</v>
      </c>
      <c r="R259" t="s">
        <v>567</v>
      </c>
      <c r="S259" t="s">
        <v>667</v>
      </c>
      <c r="T259" t="s">
        <v>568</v>
      </c>
    </row>
    <row r="260" spans="1:20" ht="15.75" hidden="1" outlineLevel="1" x14ac:dyDescent="0.25">
      <c r="A260">
        <f t="shared" si="11"/>
        <v>211</v>
      </c>
      <c r="B260" t="s">
        <v>560</v>
      </c>
      <c r="C260" t="s">
        <v>561</v>
      </c>
      <c r="D260" s="47" t="s">
        <v>668</v>
      </c>
      <c r="E260" s="127" t="s">
        <v>613</v>
      </c>
      <c r="F260" t="s">
        <v>576</v>
      </c>
      <c r="G260" t="s">
        <v>565</v>
      </c>
      <c r="H260" t="s">
        <v>577</v>
      </c>
      <c r="I260" t="s">
        <v>578</v>
      </c>
      <c r="J260" t="s">
        <v>579</v>
      </c>
      <c r="L260" s="125">
        <v>44562</v>
      </c>
      <c r="M260" s="125">
        <v>44926</v>
      </c>
      <c r="N260" s="126">
        <f t="shared" si="12"/>
        <v>44926</v>
      </c>
      <c r="Q260" t="s">
        <v>566</v>
      </c>
      <c r="R260" t="s">
        <v>567</v>
      </c>
      <c r="S260" t="s">
        <v>667</v>
      </c>
      <c r="T260" t="s">
        <v>568</v>
      </c>
    </row>
    <row r="261" spans="1:20" ht="15.75" hidden="1" outlineLevel="1" x14ac:dyDescent="0.25">
      <c r="A261">
        <f t="shared" si="11"/>
        <v>212</v>
      </c>
      <c r="B261" t="s">
        <v>560</v>
      </c>
      <c r="C261" t="s">
        <v>561</v>
      </c>
      <c r="D261" s="47" t="s">
        <v>668</v>
      </c>
      <c r="E261" s="127" t="s">
        <v>614</v>
      </c>
      <c r="F261" t="s">
        <v>576</v>
      </c>
      <c r="G261" t="s">
        <v>565</v>
      </c>
      <c r="H261" t="s">
        <v>577</v>
      </c>
      <c r="I261" t="s">
        <v>578</v>
      </c>
      <c r="J261" t="s">
        <v>579</v>
      </c>
      <c r="L261" s="125">
        <v>44562</v>
      </c>
      <c r="M261" s="125">
        <v>44926</v>
      </c>
      <c r="N261" s="126">
        <f t="shared" si="12"/>
        <v>44926</v>
      </c>
      <c r="Q261" t="s">
        <v>566</v>
      </c>
      <c r="R261" t="s">
        <v>567</v>
      </c>
      <c r="S261" t="s">
        <v>667</v>
      </c>
      <c r="T261" t="s">
        <v>568</v>
      </c>
    </row>
    <row r="262" spans="1:20" ht="15.75" hidden="1" outlineLevel="1" x14ac:dyDescent="0.25">
      <c r="A262">
        <f t="shared" si="11"/>
        <v>213</v>
      </c>
      <c r="B262" t="s">
        <v>560</v>
      </c>
      <c r="C262" t="s">
        <v>561</v>
      </c>
      <c r="D262" s="47" t="s">
        <v>668</v>
      </c>
      <c r="E262" s="127" t="s">
        <v>615</v>
      </c>
      <c r="F262" t="s">
        <v>576</v>
      </c>
      <c r="G262" t="s">
        <v>565</v>
      </c>
      <c r="H262" t="s">
        <v>577</v>
      </c>
      <c r="I262" t="s">
        <v>578</v>
      </c>
      <c r="J262" t="s">
        <v>579</v>
      </c>
      <c r="L262" s="125">
        <v>44562</v>
      </c>
      <c r="M262" s="125">
        <v>44926</v>
      </c>
      <c r="N262" s="126">
        <f t="shared" si="12"/>
        <v>44926</v>
      </c>
      <c r="Q262" t="s">
        <v>566</v>
      </c>
      <c r="R262" t="s">
        <v>567</v>
      </c>
      <c r="S262" t="s">
        <v>667</v>
      </c>
      <c r="T262" t="s">
        <v>568</v>
      </c>
    </row>
    <row r="263" spans="1:20" ht="15.75" hidden="1" outlineLevel="1" x14ac:dyDescent="0.25">
      <c r="A263">
        <f t="shared" si="11"/>
        <v>214</v>
      </c>
      <c r="B263" t="s">
        <v>560</v>
      </c>
      <c r="C263" t="s">
        <v>561</v>
      </c>
      <c r="D263" s="47" t="s">
        <v>668</v>
      </c>
      <c r="E263" s="127" t="s">
        <v>616</v>
      </c>
      <c r="F263" t="s">
        <v>576</v>
      </c>
      <c r="G263" t="s">
        <v>565</v>
      </c>
      <c r="H263" t="s">
        <v>577</v>
      </c>
      <c r="I263" t="s">
        <v>578</v>
      </c>
      <c r="J263" t="s">
        <v>579</v>
      </c>
      <c r="L263" s="125">
        <v>44562</v>
      </c>
      <c r="M263" s="125">
        <v>44926</v>
      </c>
      <c r="N263" s="126">
        <f t="shared" si="12"/>
        <v>44926</v>
      </c>
      <c r="Q263" t="s">
        <v>566</v>
      </c>
      <c r="R263" t="s">
        <v>567</v>
      </c>
      <c r="S263" t="s">
        <v>667</v>
      </c>
      <c r="T263" t="s">
        <v>568</v>
      </c>
    </row>
    <row r="264" spans="1:20" ht="15.75" hidden="1" outlineLevel="1" x14ac:dyDescent="0.25">
      <c r="A264">
        <f t="shared" si="11"/>
        <v>215</v>
      </c>
      <c r="B264" t="s">
        <v>560</v>
      </c>
      <c r="C264" t="s">
        <v>561</v>
      </c>
      <c r="D264" s="47" t="s">
        <v>668</v>
      </c>
      <c r="E264" s="127" t="s">
        <v>617</v>
      </c>
      <c r="F264" t="s">
        <v>576</v>
      </c>
      <c r="G264" t="s">
        <v>565</v>
      </c>
      <c r="H264" t="s">
        <v>577</v>
      </c>
      <c r="I264" t="s">
        <v>578</v>
      </c>
      <c r="J264" t="s">
        <v>579</v>
      </c>
      <c r="L264" s="125">
        <v>44562</v>
      </c>
      <c r="M264" s="125">
        <v>44926</v>
      </c>
      <c r="N264" s="126">
        <f t="shared" si="12"/>
        <v>44926</v>
      </c>
      <c r="Q264" t="s">
        <v>566</v>
      </c>
      <c r="R264" t="s">
        <v>567</v>
      </c>
      <c r="S264" t="s">
        <v>667</v>
      </c>
      <c r="T264" t="s">
        <v>568</v>
      </c>
    </row>
    <row r="265" spans="1:20" ht="15.75" hidden="1" outlineLevel="1" x14ac:dyDescent="0.25">
      <c r="A265">
        <f t="shared" si="11"/>
        <v>216</v>
      </c>
      <c r="B265" t="s">
        <v>560</v>
      </c>
      <c r="C265" t="s">
        <v>561</v>
      </c>
      <c r="D265" s="47" t="s">
        <v>668</v>
      </c>
      <c r="E265" s="127" t="s">
        <v>618</v>
      </c>
      <c r="F265" t="s">
        <v>576</v>
      </c>
      <c r="G265" t="s">
        <v>565</v>
      </c>
      <c r="H265" t="s">
        <v>577</v>
      </c>
      <c r="I265" t="s">
        <v>578</v>
      </c>
      <c r="J265" t="s">
        <v>579</v>
      </c>
      <c r="L265" s="125">
        <v>44562</v>
      </c>
      <c r="M265" s="125">
        <v>44926</v>
      </c>
      <c r="N265" s="126">
        <f t="shared" si="12"/>
        <v>44926</v>
      </c>
      <c r="Q265" t="s">
        <v>566</v>
      </c>
      <c r="R265" t="s">
        <v>567</v>
      </c>
      <c r="S265" t="s">
        <v>667</v>
      </c>
      <c r="T265" t="s">
        <v>568</v>
      </c>
    </row>
    <row r="266" spans="1:20" ht="15.75" hidden="1" outlineLevel="1" x14ac:dyDescent="0.25">
      <c r="A266">
        <f t="shared" si="11"/>
        <v>217</v>
      </c>
      <c r="B266" t="s">
        <v>560</v>
      </c>
      <c r="C266" t="s">
        <v>561</v>
      </c>
      <c r="D266" s="47" t="s">
        <v>668</v>
      </c>
      <c r="E266" s="127" t="s">
        <v>619</v>
      </c>
      <c r="F266" t="s">
        <v>576</v>
      </c>
      <c r="G266" t="s">
        <v>565</v>
      </c>
      <c r="H266" t="s">
        <v>577</v>
      </c>
      <c r="I266" t="s">
        <v>578</v>
      </c>
      <c r="J266" t="s">
        <v>579</v>
      </c>
      <c r="L266" s="125">
        <v>44562</v>
      </c>
      <c r="M266" s="125">
        <v>44926</v>
      </c>
      <c r="N266" s="126">
        <f t="shared" si="12"/>
        <v>44926</v>
      </c>
      <c r="Q266" t="s">
        <v>566</v>
      </c>
      <c r="R266" t="s">
        <v>567</v>
      </c>
      <c r="S266" t="s">
        <v>667</v>
      </c>
      <c r="T266" t="s">
        <v>568</v>
      </c>
    </row>
    <row r="267" spans="1:20" ht="15.75" hidden="1" outlineLevel="1" x14ac:dyDescent="0.25">
      <c r="A267">
        <f t="shared" si="11"/>
        <v>218</v>
      </c>
      <c r="B267" t="s">
        <v>560</v>
      </c>
      <c r="C267" t="s">
        <v>561</v>
      </c>
      <c r="D267" s="47" t="s">
        <v>668</v>
      </c>
      <c r="E267" s="127" t="s">
        <v>620</v>
      </c>
      <c r="F267" t="s">
        <v>576</v>
      </c>
      <c r="G267" t="s">
        <v>565</v>
      </c>
      <c r="H267" t="s">
        <v>577</v>
      </c>
      <c r="I267" t="s">
        <v>578</v>
      </c>
      <c r="J267" t="s">
        <v>579</v>
      </c>
      <c r="L267" s="125">
        <v>44562</v>
      </c>
      <c r="M267" s="125">
        <v>44926</v>
      </c>
      <c r="N267" s="126">
        <f t="shared" si="12"/>
        <v>44926</v>
      </c>
      <c r="Q267" t="s">
        <v>566</v>
      </c>
      <c r="R267" t="s">
        <v>567</v>
      </c>
      <c r="S267" t="s">
        <v>667</v>
      </c>
      <c r="T267" t="s">
        <v>568</v>
      </c>
    </row>
    <row r="268" spans="1:20" ht="15.75" hidden="1" outlineLevel="1" x14ac:dyDescent="0.25">
      <c r="A268">
        <f t="shared" si="11"/>
        <v>219</v>
      </c>
      <c r="B268" t="s">
        <v>560</v>
      </c>
      <c r="C268" t="s">
        <v>561</v>
      </c>
      <c r="D268" s="47" t="s">
        <v>668</v>
      </c>
      <c r="E268" s="127" t="s">
        <v>621</v>
      </c>
      <c r="F268" t="s">
        <v>576</v>
      </c>
      <c r="G268" t="s">
        <v>565</v>
      </c>
      <c r="H268" t="s">
        <v>577</v>
      </c>
      <c r="I268" t="s">
        <v>578</v>
      </c>
      <c r="J268" t="s">
        <v>579</v>
      </c>
      <c r="L268" s="125">
        <v>44562</v>
      </c>
      <c r="M268" s="125">
        <v>44926</v>
      </c>
      <c r="N268" s="126">
        <f t="shared" si="12"/>
        <v>44926</v>
      </c>
      <c r="Q268" t="s">
        <v>566</v>
      </c>
      <c r="R268" t="s">
        <v>567</v>
      </c>
      <c r="S268" t="s">
        <v>667</v>
      </c>
      <c r="T268" t="s">
        <v>568</v>
      </c>
    </row>
    <row r="269" spans="1:20" ht="15.75" hidden="1" outlineLevel="1" x14ac:dyDescent="0.25">
      <c r="A269">
        <f t="shared" si="11"/>
        <v>220</v>
      </c>
      <c r="B269" t="s">
        <v>560</v>
      </c>
      <c r="C269" t="s">
        <v>561</v>
      </c>
      <c r="D269" s="47" t="s">
        <v>668</v>
      </c>
      <c r="E269" s="127" t="s">
        <v>622</v>
      </c>
      <c r="F269" t="s">
        <v>576</v>
      </c>
      <c r="G269" t="s">
        <v>565</v>
      </c>
      <c r="H269" t="s">
        <v>577</v>
      </c>
      <c r="I269" t="s">
        <v>578</v>
      </c>
      <c r="J269" t="s">
        <v>579</v>
      </c>
      <c r="L269" s="125">
        <v>44562</v>
      </c>
      <c r="M269" s="125">
        <v>44926</v>
      </c>
      <c r="N269" s="126">
        <f t="shared" si="12"/>
        <v>44926</v>
      </c>
      <c r="Q269" t="s">
        <v>566</v>
      </c>
      <c r="R269" t="s">
        <v>567</v>
      </c>
      <c r="S269" t="s">
        <v>667</v>
      </c>
      <c r="T269" t="s">
        <v>568</v>
      </c>
    </row>
    <row r="270" spans="1:20" ht="15.75" hidden="1" outlineLevel="1" x14ac:dyDescent="0.25">
      <c r="A270">
        <f t="shared" si="11"/>
        <v>221</v>
      </c>
      <c r="B270" t="s">
        <v>560</v>
      </c>
      <c r="C270" t="s">
        <v>561</v>
      </c>
      <c r="D270" s="47" t="s">
        <v>668</v>
      </c>
      <c r="E270" s="127" t="s">
        <v>623</v>
      </c>
      <c r="F270" t="s">
        <v>576</v>
      </c>
      <c r="G270" t="s">
        <v>565</v>
      </c>
      <c r="H270" t="s">
        <v>577</v>
      </c>
      <c r="I270" t="s">
        <v>578</v>
      </c>
      <c r="J270" t="s">
        <v>579</v>
      </c>
      <c r="L270" s="125">
        <v>44562</v>
      </c>
      <c r="M270" s="125">
        <v>44926</v>
      </c>
      <c r="N270" s="126">
        <f t="shared" si="12"/>
        <v>44926</v>
      </c>
      <c r="Q270" t="s">
        <v>566</v>
      </c>
      <c r="R270" t="s">
        <v>567</v>
      </c>
      <c r="S270" t="s">
        <v>667</v>
      </c>
      <c r="T270" t="s">
        <v>568</v>
      </c>
    </row>
    <row r="271" spans="1:20" ht="15.75" hidden="1" outlineLevel="1" x14ac:dyDescent="0.25">
      <c r="A271">
        <f t="shared" si="11"/>
        <v>222</v>
      </c>
      <c r="B271" t="s">
        <v>560</v>
      </c>
      <c r="C271" t="s">
        <v>561</v>
      </c>
      <c r="D271" s="47" t="s">
        <v>668</v>
      </c>
      <c r="E271" s="127" t="s">
        <v>624</v>
      </c>
      <c r="F271" t="s">
        <v>576</v>
      </c>
      <c r="G271" t="s">
        <v>565</v>
      </c>
      <c r="H271" t="s">
        <v>577</v>
      </c>
      <c r="I271" t="s">
        <v>578</v>
      </c>
      <c r="J271" t="s">
        <v>579</v>
      </c>
      <c r="L271" s="125">
        <v>44562</v>
      </c>
      <c r="M271" s="125">
        <v>44926</v>
      </c>
      <c r="N271" s="126">
        <f t="shared" si="12"/>
        <v>44926</v>
      </c>
      <c r="Q271" t="s">
        <v>566</v>
      </c>
      <c r="R271" t="s">
        <v>567</v>
      </c>
      <c r="S271" t="s">
        <v>667</v>
      </c>
      <c r="T271" t="s">
        <v>568</v>
      </c>
    </row>
    <row r="272" spans="1:20" ht="15.75" hidden="1" outlineLevel="1" x14ac:dyDescent="0.25">
      <c r="A272">
        <f t="shared" si="11"/>
        <v>223</v>
      </c>
      <c r="B272" t="s">
        <v>560</v>
      </c>
      <c r="C272" t="s">
        <v>561</v>
      </c>
      <c r="D272" s="47" t="s">
        <v>668</v>
      </c>
      <c r="E272" s="127" t="s">
        <v>625</v>
      </c>
      <c r="F272" t="s">
        <v>576</v>
      </c>
      <c r="G272" t="s">
        <v>565</v>
      </c>
      <c r="H272" t="s">
        <v>577</v>
      </c>
      <c r="I272" t="s">
        <v>578</v>
      </c>
      <c r="J272" t="s">
        <v>579</v>
      </c>
      <c r="L272" s="125">
        <v>44562</v>
      </c>
      <c r="M272" s="125">
        <v>44926</v>
      </c>
      <c r="N272" s="126">
        <f t="shared" si="12"/>
        <v>44926</v>
      </c>
      <c r="Q272" t="s">
        <v>566</v>
      </c>
      <c r="R272" t="s">
        <v>567</v>
      </c>
      <c r="S272" t="s">
        <v>667</v>
      </c>
      <c r="T272" t="s">
        <v>568</v>
      </c>
    </row>
    <row r="273" spans="1:20" ht="15.75" hidden="1" outlineLevel="1" x14ac:dyDescent="0.25">
      <c r="A273">
        <f t="shared" si="11"/>
        <v>224</v>
      </c>
      <c r="B273" t="s">
        <v>560</v>
      </c>
      <c r="C273" t="s">
        <v>561</v>
      </c>
      <c r="D273" s="47" t="s">
        <v>668</v>
      </c>
      <c r="E273" s="127" t="s">
        <v>626</v>
      </c>
      <c r="F273" t="s">
        <v>576</v>
      </c>
      <c r="G273" t="s">
        <v>565</v>
      </c>
      <c r="H273" t="s">
        <v>577</v>
      </c>
      <c r="I273" t="s">
        <v>578</v>
      </c>
      <c r="J273" t="s">
        <v>579</v>
      </c>
      <c r="L273" s="125">
        <v>44562</v>
      </c>
      <c r="M273" s="125">
        <v>44926</v>
      </c>
      <c r="N273" s="126">
        <f t="shared" si="12"/>
        <v>44926</v>
      </c>
      <c r="Q273" t="s">
        <v>566</v>
      </c>
      <c r="R273" t="s">
        <v>567</v>
      </c>
      <c r="S273" t="s">
        <v>667</v>
      </c>
      <c r="T273" t="s">
        <v>568</v>
      </c>
    </row>
    <row r="274" spans="1:20" ht="15.75" hidden="1" outlineLevel="1" x14ac:dyDescent="0.25">
      <c r="A274">
        <f t="shared" si="11"/>
        <v>225</v>
      </c>
      <c r="B274" t="s">
        <v>560</v>
      </c>
      <c r="C274" t="s">
        <v>561</v>
      </c>
      <c r="D274" s="47" t="s">
        <v>668</v>
      </c>
      <c r="E274" s="127" t="s">
        <v>627</v>
      </c>
      <c r="F274" t="s">
        <v>576</v>
      </c>
      <c r="G274" t="s">
        <v>565</v>
      </c>
      <c r="H274" t="s">
        <v>577</v>
      </c>
      <c r="I274" t="s">
        <v>578</v>
      </c>
      <c r="J274" t="s">
        <v>579</v>
      </c>
      <c r="L274" s="125">
        <v>44562</v>
      </c>
      <c r="M274" s="125">
        <v>44926</v>
      </c>
      <c r="N274" s="126">
        <f t="shared" si="12"/>
        <v>44926</v>
      </c>
      <c r="Q274" t="s">
        <v>566</v>
      </c>
      <c r="R274" t="s">
        <v>567</v>
      </c>
      <c r="S274" t="s">
        <v>667</v>
      </c>
      <c r="T274" t="s">
        <v>568</v>
      </c>
    </row>
    <row r="275" spans="1:20" ht="15.75" hidden="1" outlineLevel="1" x14ac:dyDescent="0.25">
      <c r="A275">
        <f t="shared" si="11"/>
        <v>226</v>
      </c>
      <c r="B275" t="s">
        <v>560</v>
      </c>
      <c r="C275" t="s">
        <v>561</v>
      </c>
      <c r="D275" s="47" t="s">
        <v>668</v>
      </c>
      <c r="E275" s="127" t="s">
        <v>628</v>
      </c>
      <c r="F275" t="s">
        <v>576</v>
      </c>
      <c r="G275" t="s">
        <v>565</v>
      </c>
      <c r="H275" t="s">
        <v>577</v>
      </c>
      <c r="I275" t="s">
        <v>578</v>
      </c>
      <c r="J275" t="s">
        <v>579</v>
      </c>
      <c r="L275" s="125">
        <v>44562</v>
      </c>
      <c r="M275" s="125">
        <v>44926</v>
      </c>
      <c r="N275" s="126">
        <f t="shared" si="12"/>
        <v>44926</v>
      </c>
      <c r="Q275" t="s">
        <v>566</v>
      </c>
      <c r="R275" t="s">
        <v>567</v>
      </c>
      <c r="S275" t="s">
        <v>667</v>
      </c>
      <c r="T275" t="s">
        <v>568</v>
      </c>
    </row>
    <row r="276" spans="1:20" ht="15.75" hidden="1" outlineLevel="1" x14ac:dyDescent="0.25">
      <c r="A276">
        <f t="shared" si="11"/>
        <v>227</v>
      </c>
      <c r="B276" t="s">
        <v>560</v>
      </c>
      <c r="C276" t="s">
        <v>561</v>
      </c>
      <c r="D276" s="47" t="s">
        <v>668</v>
      </c>
      <c r="E276" s="127" t="s">
        <v>629</v>
      </c>
      <c r="F276" t="s">
        <v>576</v>
      </c>
      <c r="G276" t="s">
        <v>565</v>
      </c>
      <c r="H276" t="s">
        <v>577</v>
      </c>
      <c r="I276" t="s">
        <v>578</v>
      </c>
      <c r="J276" t="s">
        <v>579</v>
      </c>
      <c r="L276" s="125">
        <v>44562</v>
      </c>
      <c r="M276" s="125">
        <v>44926</v>
      </c>
      <c r="N276" s="126">
        <f t="shared" si="12"/>
        <v>44926</v>
      </c>
      <c r="Q276" t="s">
        <v>566</v>
      </c>
      <c r="R276" t="s">
        <v>567</v>
      </c>
      <c r="S276" t="s">
        <v>667</v>
      </c>
      <c r="T276" t="s">
        <v>568</v>
      </c>
    </row>
    <row r="277" spans="1:20" ht="15.75" hidden="1" outlineLevel="1" x14ac:dyDescent="0.25">
      <c r="A277">
        <f t="shared" si="11"/>
        <v>228</v>
      </c>
      <c r="B277" t="s">
        <v>560</v>
      </c>
      <c r="C277" t="s">
        <v>561</v>
      </c>
      <c r="D277" s="47" t="s">
        <v>668</v>
      </c>
      <c r="E277" s="127" t="s">
        <v>630</v>
      </c>
      <c r="F277" t="s">
        <v>576</v>
      </c>
      <c r="G277" t="s">
        <v>565</v>
      </c>
      <c r="H277" t="s">
        <v>577</v>
      </c>
      <c r="I277" t="s">
        <v>578</v>
      </c>
      <c r="J277" t="s">
        <v>579</v>
      </c>
      <c r="L277" s="125">
        <v>44562</v>
      </c>
      <c r="M277" s="125">
        <v>44926</v>
      </c>
      <c r="N277" s="126">
        <f t="shared" si="12"/>
        <v>44926</v>
      </c>
      <c r="Q277" t="s">
        <v>566</v>
      </c>
      <c r="R277" t="s">
        <v>567</v>
      </c>
      <c r="S277" t="s">
        <v>667</v>
      </c>
      <c r="T277" t="s">
        <v>568</v>
      </c>
    </row>
    <row r="278" spans="1:20" ht="15.75" hidden="1" outlineLevel="1" x14ac:dyDescent="0.25">
      <c r="A278">
        <f t="shared" si="11"/>
        <v>229</v>
      </c>
      <c r="B278" t="s">
        <v>560</v>
      </c>
      <c r="C278" t="s">
        <v>561</v>
      </c>
      <c r="D278" s="47" t="s">
        <v>668</v>
      </c>
      <c r="E278" s="127" t="s">
        <v>631</v>
      </c>
      <c r="F278" t="s">
        <v>576</v>
      </c>
      <c r="G278" t="s">
        <v>565</v>
      </c>
      <c r="H278" t="s">
        <v>577</v>
      </c>
      <c r="I278" t="s">
        <v>578</v>
      </c>
      <c r="J278" t="s">
        <v>579</v>
      </c>
      <c r="L278" s="125">
        <v>44562</v>
      </c>
      <c r="M278" s="125">
        <v>44926</v>
      </c>
      <c r="N278" s="126">
        <f t="shared" si="12"/>
        <v>44926</v>
      </c>
      <c r="Q278" t="s">
        <v>566</v>
      </c>
      <c r="R278" t="s">
        <v>567</v>
      </c>
      <c r="S278" t="s">
        <v>667</v>
      </c>
      <c r="T278" t="s">
        <v>568</v>
      </c>
    </row>
    <row r="279" spans="1:20" ht="15.75" hidden="1" outlineLevel="1" x14ac:dyDescent="0.25">
      <c r="A279">
        <f t="shared" si="11"/>
        <v>230</v>
      </c>
      <c r="B279" t="s">
        <v>560</v>
      </c>
      <c r="C279" t="s">
        <v>561</v>
      </c>
      <c r="D279" s="47" t="s">
        <v>668</v>
      </c>
      <c r="E279" s="127" t="s">
        <v>632</v>
      </c>
      <c r="F279" t="s">
        <v>576</v>
      </c>
      <c r="G279" t="s">
        <v>565</v>
      </c>
      <c r="H279" t="s">
        <v>577</v>
      </c>
      <c r="I279" t="s">
        <v>578</v>
      </c>
      <c r="J279" t="s">
        <v>579</v>
      </c>
      <c r="L279" s="125">
        <v>44562</v>
      </c>
      <c r="M279" s="125">
        <v>44926</v>
      </c>
      <c r="N279" s="126">
        <f t="shared" si="12"/>
        <v>44926</v>
      </c>
      <c r="Q279" t="s">
        <v>566</v>
      </c>
      <c r="R279" t="s">
        <v>567</v>
      </c>
      <c r="S279" t="s">
        <v>667</v>
      </c>
      <c r="T279" t="s">
        <v>568</v>
      </c>
    </row>
    <row r="280" spans="1:20" ht="15.75" hidden="1" outlineLevel="1" x14ac:dyDescent="0.25">
      <c r="A280">
        <f t="shared" si="11"/>
        <v>231</v>
      </c>
      <c r="B280" t="s">
        <v>560</v>
      </c>
      <c r="C280" t="s">
        <v>561</v>
      </c>
      <c r="D280" s="47" t="s">
        <v>668</v>
      </c>
      <c r="E280" s="127" t="s">
        <v>633</v>
      </c>
      <c r="F280" t="s">
        <v>576</v>
      </c>
      <c r="G280" t="s">
        <v>565</v>
      </c>
      <c r="H280" t="s">
        <v>577</v>
      </c>
      <c r="I280" t="s">
        <v>578</v>
      </c>
      <c r="J280" t="s">
        <v>579</v>
      </c>
      <c r="L280" s="125">
        <v>44562</v>
      </c>
      <c r="M280" s="125">
        <v>44926</v>
      </c>
      <c r="N280" s="126">
        <f t="shared" si="12"/>
        <v>44926</v>
      </c>
      <c r="Q280" t="s">
        <v>566</v>
      </c>
      <c r="R280" t="s">
        <v>567</v>
      </c>
      <c r="S280" t="s">
        <v>667</v>
      </c>
      <c r="T280" t="s">
        <v>568</v>
      </c>
    </row>
    <row r="281" spans="1:20" ht="15.75" hidden="1" outlineLevel="1" x14ac:dyDescent="0.25">
      <c r="A281">
        <f t="shared" si="11"/>
        <v>232</v>
      </c>
      <c r="B281" t="s">
        <v>560</v>
      </c>
      <c r="C281" t="s">
        <v>561</v>
      </c>
      <c r="D281" s="47" t="s">
        <v>668</v>
      </c>
      <c r="E281" s="127" t="s">
        <v>634</v>
      </c>
      <c r="F281" t="s">
        <v>576</v>
      </c>
      <c r="G281" t="s">
        <v>565</v>
      </c>
      <c r="H281" t="s">
        <v>577</v>
      </c>
      <c r="I281" t="s">
        <v>578</v>
      </c>
      <c r="J281" t="s">
        <v>579</v>
      </c>
      <c r="L281" s="125">
        <v>44562</v>
      </c>
      <c r="M281" s="125">
        <v>44926</v>
      </c>
      <c r="N281" s="126">
        <f t="shared" si="12"/>
        <v>44926</v>
      </c>
      <c r="Q281" t="s">
        <v>566</v>
      </c>
      <c r="R281" t="s">
        <v>567</v>
      </c>
      <c r="S281" t="s">
        <v>667</v>
      </c>
      <c r="T281" t="s">
        <v>568</v>
      </c>
    </row>
    <row r="282" spans="1:20" ht="15.75" hidden="1" outlineLevel="1" x14ac:dyDescent="0.25">
      <c r="A282">
        <f t="shared" si="11"/>
        <v>233</v>
      </c>
      <c r="B282" t="s">
        <v>560</v>
      </c>
      <c r="C282" t="s">
        <v>561</v>
      </c>
      <c r="D282" s="47" t="s">
        <v>668</v>
      </c>
      <c r="E282" s="127" t="s">
        <v>635</v>
      </c>
      <c r="F282" t="s">
        <v>576</v>
      </c>
      <c r="G282" t="s">
        <v>565</v>
      </c>
      <c r="H282" t="s">
        <v>577</v>
      </c>
      <c r="I282" t="s">
        <v>578</v>
      </c>
      <c r="J282" t="s">
        <v>579</v>
      </c>
      <c r="L282" s="125">
        <v>44562</v>
      </c>
      <c r="M282" s="125">
        <v>44926</v>
      </c>
      <c r="N282" s="126">
        <f t="shared" si="12"/>
        <v>44926</v>
      </c>
      <c r="Q282" t="s">
        <v>566</v>
      </c>
      <c r="R282" t="s">
        <v>567</v>
      </c>
      <c r="S282" t="s">
        <v>667</v>
      </c>
      <c r="T282" t="s">
        <v>568</v>
      </c>
    </row>
    <row r="283" spans="1:20" ht="15.75" hidden="1" outlineLevel="1" x14ac:dyDescent="0.25">
      <c r="A283">
        <f t="shared" si="11"/>
        <v>234</v>
      </c>
      <c r="B283" t="s">
        <v>560</v>
      </c>
      <c r="C283" t="s">
        <v>561</v>
      </c>
      <c r="D283" s="47" t="s">
        <v>668</v>
      </c>
      <c r="E283" s="127" t="s">
        <v>636</v>
      </c>
      <c r="F283" t="s">
        <v>576</v>
      </c>
      <c r="G283" t="s">
        <v>565</v>
      </c>
      <c r="H283" t="s">
        <v>577</v>
      </c>
      <c r="I283" t="s">
        <v>578</v>
      </c>
      <c r="J283" t="s">
        <v>579</v>
      </c>
      <c r="L283" s="125">
        <v>44562</v>
      </c>
      <c r="M283" s="125">
        <v>44926</v>
      </c>
      <c r="N283" s="126">
        <f t="shared" si="12"/>
        <v>44926</v>
      </c>
      <c r="Q283" t="s">
        <v>566</v>
      </c>
      <c r="R283" t="s">
        <v>567</v>
      </c>
      <c r="S283" t="s">
        <v>667</v>
      </c>
      <c r="T283" t="s">
        <v>568</v>
      </c>
    </row>
    <row r="284" spans="1:20" ht="15.75" hidden="1" outlineLevel="1" x14ac:dyDescent="0.25">
      <c r="A284">
        <f t="shared" si="11"/>
        <v>235</v>
      </c>
      <c r="B284" t="s">
        <v>560</v>
      </c>
      <c r="C284" t="s">
        <v>561</v>
      </c>
      <c r="D284" s="47" t="s">
        <v>668</v>
      </c>
      <c r="E284" s="127" t="s">
        <v>637</v>
      </c>
      <c r="F284" t="s">
        <v>576</v>
      </c>
      <c r="G284" t="s">
        <v>565</v>
      </c>
      <c r="H284" t="s">
        <v>577</v>
      </c>
      <c r="I284" t="s">
        <v>578</v>
      </c>
      <c r="J284" t="s">
        <v>579</v>
      </c>
      <c r="L284" s="125">
        <v>44562</v>
      </c>
      <c r="M284" s="125">
        <v>44926</v>
      </c>
      <c r="N284" s="126">
        <f t="shared" si="12"/>
        <v>44926</v>
      </c>
      <c r="Q284" t="s">
        <v>566</v>
      </c>
      <c r="R284" t="s">
        <v>567</v>
      </c>
      <c r="S284" t="s">
        <v>667</v>
      </c>
      <c r="T284" t="s">
        <v>568</v>
      </c>
    </row>
    <row r="285" spans="1:20" ht="15.75" hidden="1" outlineLevel="1" x14ac:dyDescent="0.25">
      <c r="A285">
        <f t="shared" si="11"/>
        <v>236</v>
      </c>
      <c r="B285" t="s">
        <v>560</v>
      </c>
      <c r="C285" t="s">
        <v>561</v>
      </c>
      <c r="D285" s="47" t="s">
        <v>668</v>
      </c>
      <c r="E285" s="127" t="s">
        <v>638</v>
      </c>
      <c r="F285" t="s">
        <v>576</v>
      </c>
      <c r="G285" t="s">
        <v>565</v>
      </c>
      <c r="H285" t="s">
        <v>577</v>
      </c>
      <c r="I285" t="s">
        <v>578</v>
      </c>
      <c r="J285" t="s">
        <v>579</v>
      </c>
      <c r="L285" s="125">
        <v>44562</v>
      </c>
      <c r="M285" s="125">
        <v>44926</v>
      </c>
      <c r="N285" s="126">
        <f t="shared" si="12"/>
        <v>44926</v>
      </c>
      <c r="Q285" t="s">
        <v>566</v>
      </c>
      <c r="R285" t="s">
        <v>567</v>
      </c>
      <c r="S285" t="s">
        <v>667</v>
      </c>
      <c r="T285" t="s">
        <v>568</v>
      </c>
    </row>
    <row r="286" spans="1:20" ht="15.75" hidden="1" outlineLevel="1" x14ac:dyDescent="0.25">
      <c r="A286">
        <f t="shared" si="11"/>
        <v>237</v>
      </c>
      <c r="B286" t="s">
        <v>560</v>
      </c>
      <c r="C286" t="s">
        <v>561</v>
      </c>
      <c r="D286" s="47" t="s">
        <v>668</v>
      </c>
      <c r="E286" s="127" t="s">
        <v>639</v>
      </c>
      <c r="F286" t="s">
        <v>576</v>
      </c>
      <c r="G286" t="s">
        <v>565</v>
      </c>
      <c r="H286" t="s">
        <v>577</v>
      </c>
      <c r="I286" t="s">
        <v>578</v>
      </c>
      <c r="J286" t="s">
        <v>579</v>
      </c>
      <c r="L286" s="125">
        <v>44562</v>
      </c>
      <c r="M286" s="125">
        <v>44926</v>
      </c>
      <c r="N286" s="126">
        <f t="shared" si="12"/>
        <v>44926</v>
      </c>
      <c r="Q286" t="s">
        <v>566</v>
      </c>
      <c r="R286" t="s">
        <v>567</v>
      </c>
      <c r="S286" t="s">
        <v>667</v>
      </c>
      <c r="T286" t="s">
        <v>568</v>
      </c>
    </row>
    <row r="287" spans="1:20" ht="15.75" hidden="1" outlineLevel="1" x14ac:dyDescent="0.25">
      <c r="A287">
        <f t="shared" si="11"/>
        <v>238</v>
      </c>
      <c r="B287" t="s">
        <v>560</v>
      </c>
      <c r="C287" t="s">
        <v>561</v>
      </c>
      <c r="D287" s="47" t="s">
        <v>668</v>
      </c>
      <c r="E287" s="127" t="s">
        <v>640</v>
      </c>
      <c r="F287" t="s">
        <v>576</v>
      </c>
      <c r="G287" t="s">
        <v>565</v>
      </c>
      <c r="H287" t="s">
        <v>577</v>
      </c>
      <c r="I287" t="s">
        <v>578</v>
      </c>
      <c r="J287" t="s">
        <v>579</v>
      </c>
      <c r="L287" s="125">
        <v>44562</v>
      </c>
      <c r="M287" s="125">
        <v>44926</v>
      </c>
      <c r="N287" s="126">
        <f t="shared" si="12"/>
        <v>44926</v>
      </c>
      <c r="Q287" t="s">
        <v>566</v>
      </c>
      <c r="R287" t="s">
        <v>567</v>
      </c>
      <c r="S287" t="s">
        <v>667</v>
      </c>
      <c r="T287" t="s">
        <v>568</v>
      </c>
    </row>
    <row r="288" spans="1:20" ht="15.75" hidden="1" outlineLevel="1" x14ac:dyDescent="0.25">
      <c r="A288">
        <f t="shared" si="11"/>
        <v>239</v>
      </c>
      <c r="B288" t="s">
        <v>560</v>
      </c>
      <c r="C288" t="s">
        <v>561</v>
      </c>
      <c r="D288" s="47" t="s">
        <v>668</v>
      </c>
      <c r="E288" s="127" t="s">
        <v>641</v>
      </c>
      <c r="F288" t="s">
        <v>576</v>
      </c>
      <c r="G288" t="s">
        <v>565</v>
      </c>
      <c r="H288" t="s">
        <v>577</v>
      </c>
      <c r="I288" t="s">
        <v>578</v>
      </c>
      <c r="J288" t="s">
        <v>579</v>
      </c>
      <c r="L288" s="125">
        <v>44562</v>
      </c>
      <c r="M288" s="125">
        <v>44926</v>
      </c>
      <c r="N288" s="126">
        <f t="shared" si="12"/>
        <v>44926</v>
      </c>
      <c r="Q288" t="s">
        <v>566</v>
      </c>
      <c r="R288" t="s">
        <v>567</v>
      </c>
      <c r="S288" t="s">
        <v>667</v>
      </c>
      <c r="T288" t="s">
        <v>568</v>
      </c>
    </row>
    <row r="289" spans="1:20" ht="15.75" hidden="1" outlineLevel="1" x14ac:dyDescent="0.25">
      <c r="A289">
        <f t="shared" si="11"/>
        <v>240</v>
      </c>
      <c r="B289" t="s">
        <v>560</v>
      </c>
      <c r="C289" t="s">
        <v>561</v>
      </c>
      <c r="D289" s="47" t="s">
        <v>668</v>
      </c>
      <c r="E289" s="127" t="s">
        <v>642</v>
      </c>
      <c r="F289" t="s">
        <v>576</v>
      </c>
      <c r="G289" t="s">
        <v>565</v>
      </c>
      <c r="H289" t="s">
        <v>577</v>
      </c>
      <c r="I289" t="s">
        <v>578</v>
      </c>
      <c r="J289" t="s">
        <v>579</v>
      </c>
      <c r="L289" s="125">
        <v>44562</v>
      </c>
      <c r="M289" s="125">
        <v>44926</v>
      </c>
      <c r="N289" s="126">
        <f t="shared" si="12"/>
        <v>44926</v>
      </c>
      <c r="Q289" t="s">
        <v>566</v>
      </c>
      <c r="R289" t="s">
        <v>567</v>
      </c>
      <c r="S289" t="s">
        <v>667</v>
      </c>
      <c r="T289" t="s">
        <v>568</v>
      </c>
    </row>
    <row r="290" spans="1:20" ht="15.75" hidden="1" outlineLevel="1" x14ac:dyDescent="0.25">
      <c r="A290">
        <f t="shared" si="11"/>
        <v>241</v>
      </c>
      <c r="B290" t="s">
        <v>560</v>
      </c>
      <c r="C290" t="s">
        <v>561</v>
      </c>
      <c r="D290" s="47" t="s">
        <v>668</v>
      </c>
      <c r="E290" s="127" t="s">
        <v>643</v>
      </c>
      <c r="F290" t="s">
        <v>576</v>
      </c>
      <c r="G290" t="s">
        <v>565</v>
      </c>
      <c r="H290" t="s">
        <v>577</v>
      </c>
      <c r="I290" t="s">
        <v>578</v>
      </c>
      <c r="J290" t="s">
        <v>579</v>
      </c>
      <c r="L290" s="125">
        <v>44562</v>
      </c>
      <c r="M290" s="125">
        <v>44926</v>
      </c>
      <c r="N290" s="126">
        <f t="shared" si="12"/>
        <v>44926</v>
      </c>
      <c r="Q290" t="s">
        <v>566</v>
      </c>
      <c r="R290" t="s">
        <v>567</v>
      </c>
      <c r="S290" t="s">
        <v>667</v>
      </c>
      <c r="T290" t="s">
        <v>568</v>
      </c>
    </row>
    <row r="291" spans="1:20" ht="15.75" hidden="1" outlineLevel="1" x14ac:dyDescent="0.25">
      <c r="A291">
        <f t="shared" si="11"/>
        <v>242</v>
      </c>
      <c r="B291" t="s">
        <v>560</v>
      </c>
      <c r="C291" t="s">
        <v>561</v>
      </c>
      <c r="D291" s="47" t="s">
        <v>668</v>
      </c>
      <c r="E291" s="127" t="s">
        <v>644</v>
      </c>
      <c r="F291" t="s">
        <v>576</v>
      </c>
      <c r="G291" t="s">
        <v>565</v>
      </c>
      <c r="H291" t="s">
        <v>577</v>
      </c>
      <c r="I291" t="s">
        <v>578</v>
      </c>
      <c r="J291" t="s">
        <v>579</v>
      </c>
      <c r="L291" s="125">
        <v>44562</v>
      </c>
      <c r="M291" s="125">
        <v>44926</v>
      </c>
      <c r="N291" s="126">
        <f t="shared" si="12"/>
        <v>44926</v>
      </c>
      <c r="Q291" t="s">
        <v>566</v>
      </c>
      <c r="R291" t="s">
        <v>567</v>
      </c>
      <c r="S291" t="s">
        <v>667</v>
      </c>
      <c r="T291" t="s">
        <v>568</v>
      </c>
    </row>
    <row r="292" spans="1:20" ht="15.75" hidden="1" outlineLevel="1" x14ac:dyDescent="0.25">
      <c r="A292">
        <f t="shared" si="11"/>
        <v>243</v>
      </c>
      <c r="B292" t="s">
        <v>560</v>
      </c>
      <c r="C292" t="s">
        <v>561</v>
      </c>
      <c r="D292" s="47" t="s">
        <v>668</v>
      </c>
      <c r="E292" s="127" t="s">
        <v>645</v>
      </c>
      <c r="F292" t="s">
        <v>576</v>
      </c>
      <c r="G292" t="s">
        <v>565</v>
      </c>
      <c r="H292" t="s">
        <v>577</v>
      </c>
      <c r="I292" t="s">
        <v>578</v>
      </c>
      <c r="J292" t="s">
        <v>579</v>
      </c>
      <c r="L292" s="125">
        <v>44562</v>
      </c>
      <c r="M292" s="125">
        <v>44926</v>
      </c>
      <c r="N292" s="126">
        <f t="shared" si="12"/>
        <v>44926</v>
      </c>
      <c r="Q292" t="s">
        <v>566</v>
      </c>
      <c r="R292" t="s">
        <v>567</v>
      </c>
      <c r="S292" t="s">
        <v>667</v>
      </c>
      <c r="T292" t="s">
        <v>568</v>
      </c>
    </row>
    <row r="293" spans="1:20" ht="15.75" hidden="1" outlineLevel="1" x14ac:dyDescent="0.25">
      <c r="A293">
        <f t="shared" si="11"/>
        <v>244</v>
      </c>
      <c r="B293" t="s">
        <v>560</v>
      </c>
      <c r="C293" t="s">
        <v>561</v>
      </c>
      <c r="D293" s="47" t="s">
        <v>668</v>
      </c>
      <c r="E293" s="127" t="s">
        <v>646</v>
      </c>
      <c r="F293" t="s">
        <v>576</v>
      </c>
      <c r="G293" t="s">
        <v>565</v>
      </c>
      <c r="H293" t="s">
        <v>577</v>
      </c>
      <c r="I293" t="s">
        <v>578</v>
      </c>
      <c r="J293" t="s">
        <v>579</v>
      </c>
      <c r="L293" s="125">
        <v>44562</v>
      </c>
      <c r="M293" s="125">
        <v>44926</v>
      </c>
      <c r="N293" s="126">
        <f t="shared" si="12"/>
        <v>44926</v>
      </c>
      <c r="Q293" t="s">
        <v>566</v>
      </c>
      <c r="R293" t="s">
        <v>567</v>
      </c>
      <c r="S293" t="s">
        <v>667</v>
      </c>
      <c r="T293" t="s">
        <v>568</v>
      </c>
    </row>
    <row r="294" spans="1:20" ht="15.75" hidden="1" outlineLevel="1" x14ac:dyDescent="0.25">
      <c r="A294">
        <f t="shared" si="11"/>
        <v>245</v>
      </c>
      <c r="B294" t="s">
        <v>560</v>
      </c>
      <c r="C294" t="s">
        <v>561</v>
      </c>
      <c r="D294" s="47" t="s">
        <v>668</v>
      </c>
      <c r="E294" s="127" t="s">
        <v>647</v>
      </c>
      <c r="F294" t="s">
        <v>576</v>
      </c>
      <c r="G294" t="s">
        <v>565</v>
      </c>
      <c r="H294" t="s">
        <v>577</v>
      </c>
      <c r="I294" t="s">
        <v>578</v>
      </c>
      <c r="J294" t="s">
        <v>579</v>
      </c>
      <c r="L294" s="125">
        <v>44562</v>
      </c>
      <c r="M294" s="125">
        <v>44926</v>
      </c>
      <c r="N294" s="126">
        <f t="shared" si="12"/>
        <v>44926</v>
      </c>
      <c r="Q294" t="s">
        <v>566</v>
      </c>
      <c r="R294" t="s">
        <v>567</v>
      </c>
      <c r="S294" t="s">
        <v>667</v>
      </c>
      <c r="T294" t="s">
        <v>568</v>
      </c>
    </row>
    <row r="295" spans="1:20" ht="15.75" hidden="1" outlineLevel="1" x14ac:dyDescent="0.25">
      <c r="A295">
        <f t="shared" si="11"/>
        <v>246</v>
      </c>
      <c r="B295" t="s">
        <v>560</v>
      </c>
      <c r="C295" t="s">
        <v>561</v>
      </c>
      <c r="D295" s="47" t="s">
        <v>668</v>
      </c>
      <c r="E295" s="127" t="s">
        <v>648</v>
      </c>
      <c r="F295" t="s">
        <v>576</v>
      </c>
      <c r="G295" t="s">
        <v>565</v>
      </c>
      <c r="H295" t="s">
        <v>577</v>
      </c>
      <c r="I295" t="s">
        <v>578</v>
      </c>
      <c r="J295" t="s">
        <v>579</v>
      </c>
      <c r="L295" s="125">
        <v>44562</v>
      </c>
      <c r="M295" s="125">
        <v>44926</v>
      </c>
      <c r="N295" s="126">
        <f t="shared" si="12"/>
        <v>44926</v>
      </c>
      <c r="Q295" t="s">
        <v>566</v>
      </c>
      <c r="R295" t="s">
        <v>567</v>
      </c>
      <c r="S295" t="s">
        <v>667</v>
      </c>
      <c r="T295" t="s">
        <v>568</v>
      </c>
    </row>
    <row r="296" spans="1:20" ht="15.75" hidden="1" outlineLevel="1" x14ac:dyDescent="0.25">
      <c r="A296">
        <f t="shared" si="11"/>
        <v>247</v>
      </c>
      <c r="B296" t="s">
        <v>560</v>
      </c>
      <c r="C296" t="s">
        <v>561</v>
      </c>
      <c r="D296" s="47" t="s">
        <v>668</v>
      </c>
      <c r="E296" s="127" t="s">
        <v>649</v>
      </c>
      <c r="F296" t="s">
        <v>576</v>
      </c>
      <c r="G296" t="s">
        <v>565</v>
      </c>
      <c r="H296" t="s">
        <v>577</v>
      </c>
      <c r="I296" t="s">
        <v>578</v>
      </c>
      <c r="J296" t="s">
        <v>579</v>
      </c>
      <c r="L296" s="125">
        <v>44562</v>
      </c>
      <c r="M296" s="125">
        <v>44926</v>
      </c>
      <c r="N296" s="126">
        <f t="shared" si="12"/>
        <v>44926</v>
      </c>
      <c r="Q296" t="s">
        <v>566</v>
      </c>
      <c r="R296" t="s">
        <v>567</v>
      </c>
      <c r="S296" t="s">
        <v>667</v>
      </c>
      <c r="T296" t="s">
        <v>568</v>
      </c>
    </row>
    <row r="297" spans="1:20" ht="15.75" hidden="1" outlineLevel="1" x14ac:dyDescent="0.25">
      <c r="A297">
        <f t="shared" si="11"/>
        <v>248</v>
      </c>
      <c r="B297" t="s">
        <v>560</v>
      </c>
      <c r="C297" t="s">
        <v>561</v>
      </c>
      <c r="D297" s="47" t="s">
        <v>668</v>
      </c>
      <c r="E297" s="127" t="s">
        <v>650</v>
      </c>
      <c r="F297" t="s">
        <v>576</v>
      </c>
      <c r="G297" t="s">
        <v>565</v>
      </c>
      <c r="H297" t="s">
        <v>577</v>
      </c>
      <c r="I297" t="s">
        <v>578</v>
      </c>
      <c r="J297" t="s">
        <v>579</v>
      </c>
      <c r="L297" s="125">
        <v>44562</v>
      </c>
      <c r="M297" s="125">
        <v>44926</v>
      </c>
      <c r="N297" s="126">
        <f t="shared" si="12"/>
        <v>44926</v>
      </c>
      <c r="Q297" t="s">
        <v>566</v>
      </c>
      <c r="R297" t="s">
        <v>567</v>
      </c>
      <c r="S297" t="s">
        <v>667</v>
      </c>
      <c r="T297" t="s">
        <v>568</v>
      </c>
    </row>
    <row r="298" spans="1:20" ht="15.75" hidden="1" outlineLevel="1" x14ac:dyDescent="0.25">
      <c r="A298">
        <f t="shared" si="11"/>
        <v>249</v>
      </c>
      <c r="B298" t="s">
        <v>560</v>
      </c>
      <c r="C298" t="s">
        <v>561</v>
      </c>
      <c r="D298" s="47" t="s">
        <v>668</v>
      </c>
      <c r="E298" s="127" t="s">
        <v>651</v>
      </c>
      <c r="F298" t="s">
        <v>576</v>
      </c>
      <c r="G298" t="s">
        <v>565</v>
      </c>
      <c r="H298" t="s">
        <v>577</v>
      </c>
      <c r="I298" t="s">
        <v>578</v>
      </c>
      <c r="J298" t="s">
        <v>579</v>
      </c>
      <c r="L298" s="125">
        <v>44562</v>
      </c>
      <c r="M298" s="125">
        <v>44926</v>
      </c>
      <c r="N298" s="126">
        <f t="shared" si="12"/>
        <v>44926</v>
      </c>
      <c r="Q298" t="s">
        <v>566</v>
      </c>
      <c r="R298" t="s">
        <v>567</v>
      </c>
      <c r="S298" t="s">
        <v>667</v>
      </c>
      <c r="T298" t="s">
        <v>568</v>
      </c>
    </row>
    <row r="299" spans="1:20" ht="15.75" hidden="1" outlineLevel="1" x14ac:dyDescent="0.25">
      <c r="A299">
        <f t="shared" si="11"/>
        <v>250</v>
      </c>
      <c r="B299" t="s">
        <v>560</v>
      </c>
      <c r="C299" t="s">
        <v>561</v>
      </c>
      <c r="D299" s="47" t="s">
        <v>668</v>
      </c>
      <c r="E299" s="127" t="s">
        <v>652</v>
      </c>
      <c r="F299" t="s">
        <v>576</v>
      </c>
      <c r="G299" t="s">
        <v>565</v>
      </c>
      <c r="H299" t="s">
        <v>577</v>
      </c>
      <c r="I299" t="s">
        <v>578</v>
      </c>
      <c r="J299" t="s">
        <v>579</v>
      </c>
      <c r="L299" s="125">
        <v>44562</v>
      </c>
      <c r="M299" s="125">
        <v>44926</v>
      </c>
      <c r="N299" s="126">
        <f t="shared" si="12"/>
        <v>44926</v>
      </c>
      <c r="Q299" t="s">
        <v>566</v>
      </c>
      <c r="R299" t="s">
        <v>567</v>
      </c>
      <c r="S299" t="s">
        <v>667</v>
      </c>
      <c r="T299" t="s">
        <v>568</v>
      </c>
    </row>
    <row r="300" spans="1:20" ht="15.75" hidden="1" outlineLevel="1" x14ac:dyDescent="0.25">
      <c r="A300">
        <f t="shared" si="11"/>
        <v>251</v>
      </c>
      <c r="B300" t="s">
        <v>560</v>
      </c>
      <c r="C300" t="s">
        <v>561</v>
      </c>
      <c r="D300" s="47" t="s">
        <v>668</v>
      </c>
      <c r="E300" s="127" t="s">
        <v>653</v>
      </c>
      <c r="F300" t="s">
        <v>576</v>
      </c>
      <c r="G300" t="s">
        <v>565</v>
      </c>
      <c r="H300" t="s">
        <v>577</v>
      </c>
      <c r="I300" t="s">
        <v>578</v>
      </c>
      <c r="J300" t="s">
        <v>579</v>
      </c>
      <c r="L300" s="125">
        <v>44562</v>
      </c>
      <c r="M300" s="125">
        <v>44926</v>
      </c>
      <c r="N300" s="126">
        <f t="shared" si="12"/>
        <v>44926</v>
      </c>
      <c r="Q300" t="s">
        <v>566</v>
      </c>
      <c r="R300" t="s">
        <v>567</v>
      </c>
      <c r="S300" t="s">
        <v>667</v>
      </c>
      <c r="T300" t="s">
        <v>568</v>
      </c>
    </row>
    <row r="301" spans="1:20" ht="15.75" hidden="1" outlineLevel="1" x14ac:dyDescent="0.25">
      <c r="A301">
        <f t="shared" si="11"/>
        <v>252</v>
      </c>
      <c r="B301" t="s">
        <v>560</v>
      </c>
      <c r="C301" t="s">
        <v>561</v>
      </c>
      <c r="D301" s="47" t="s">
        <v>668</v>
      </c>
      <c r="E301" s="127" t="s">
        <v>654</v>
      </c>
      <c r="F301" t="s">
        <v>576</v>
      </c>
      <c r="G301" t="s">
        <v>565</v>
      </c>
      <c r="H301" t="s">
        <v>577</v>
      </c>
      <c r="I301" t="s">
        <v>578</v>
      </c>
      <c r="J301" t="s">
        <v>579</v>
      </c>
      <c r="L301" s="125">
        <v>44562</v>
      </c>
      <c r="M301" s="125">
        <v>44926</v>
      </c>
      <c r="N301" s="126">
        <f t="shared" si="12"/>
        <v>44926</v>
      </c>
      <c r="Q301" t="s">
        <v>566</v>
      </c>
      <c r="R301" t="s">
        <v>567</v>
      </c>
      <c r="S301" t="s">
        <v>667</v>
      </c>
      <c r="T301" t="s">
        <v>568</v>
      </c>
    </row>
    <row r="302" spans="1:20" ht="15.75" hidden="1" outlineLevel="1" x14ac:dyDescent="0.25">
      <c r="A302">
        <f t="shared" si="11"/>
        <v>253</v>
      </c>
      <c r="B302" t="s">
        <v>560</v>
      </c>
      <c r="C302" t="s">
        <v>561</v>
      </c>
      <c r="D302" s="47" t="s">
        <v>668</v>
      </c>
      <c r="E302" s="127" t="s">
        <v>655</v>
      </c>
      <c r="F302" t="s">
        <v>576</v>
      </c>
      <c r="G302" t="s">
        <v>565</v>
      </c>
      <c r="H302" t="s">
        <v>577</v>
      </c>
      <c r="I302" t="s">
        <v>578</v>
      </c>
      <c r="J302" t="s">
        <v>579</v>
      </c>
      <c r="L302" s="125">
        <v>44562</v>
      </c>
      <c r="M302" s="125">
        <v>44926</v>
      </c>
      <c r="N302" s="126">
        <f t="shared" si="12"/>
        <v>44926</v>
      </c>
      <c r="Q302" t="s">
        <v>566</v>
      </c>
      <c r="R302" t="s">
        <v>567</v>
      </c>
      <c r="S302" t="s">
        <v>667</v>
      </c>
      <c r="T302" t="s">
        <v>568</v>
      </c>
    </row>
    <row r="303" spans="1:20" ht="15.75" hidden="1" outlineLevel="1" x14ac:dyDescent="0.25">
      <c r="A303">
        <f t="shared" si="11"/>
        <v>254</v>
      </c>
      <c r="B303" t="s">
        <v>560</v>
      </c>
      <c r="C303" t="s">
        <v>561</v>
      </c>
      <c r="D303" s="47" t="s">
        <v>668</v>
      </c>
      <c r="E303" s="127" t="s">
        <v>656</v>
      </c>
      <c r="F303" t="s">
        <v>576</v>
      </c>
      <c r="G303" t="s">
        <v>565</v>
      </c>
      <c r="H303" t="s">
        <v>577</v>
      </c>
      <c r="I303" t="s">
        <v>578</v>
      </c>
      <c r="J303" t="s">
        <v>579</v>
      </c>
      <c r="L303" s="125">
        <v>44562</v>
      </c>
      <c r="M303" s="125">
        <v>44926</v>
      </c>
      <c r="N303" s="126">
        <f t="shared" si="12"/>
        <v>44926</v>
      </c>
      <c r="Q303" t="s">
        <v>566</v>
      </c>
      <c r="R303" t="s">
        <v>567</v>
      </c>
      <c r="S303" t="s">
        <v>667</v>
      </c>
      <c r="T303" t="s">
        <v>568</v>
      </c>
    </row>
    <row r="304" spans="1:20" ht="15.75" hidden="1" outlineLevel="1" x14ac:dyDescent="0.25">
      <c r="A304">
        <f t="shared" si="11"/>
        <v>255</v>
      </c>
      <c r="B304" t="s">
        <v>560</v>
      </c>
      <c r="C304" t="s">
        <v>561</v>
      </c>
      <c r="D304" s="47" t="s">
        <v>668</v>
      </c>
      <c r="E304" s="127" t="s">
        <v>657</v>
      </c>
      <c r="F304" t="s">
        <v>576</v>
      </c>
      <c r="G304" t="s">
        <v>565</v>
      </c>
      <c r="H304" t="s">
        <v>577</v>
      </c>
      <c r="I304" t="s">
        <v>578</v>
      </c>
      <c r="J304" t="s">
        <v>579</v>
      </c>
      <c r="L304" s="125">
        <v>44562</v>
      </c>
      <c r="M304" s="125">
        <v>44926</v>
      </c>
      <c r="N304" s="126">
        <f t="shared" si="12"/>
        <v>44926</v>
      </c>
      <c r="Q304" t="s">
        <v>566</v>
      </c>
      <c r="R304" t="s">
        <v>567</v>
      </c>
      <c r="S304" t="s">
        <v>667</v>
      </c>
      <c r="T304" t="s">
        <v>568</v>
      </c>
    </row>
    <row r="305" spans="1:20" ht="15.75" hidden="1" outlineLevel="1" x14ac:dyDescent="0.25">
      <c r="A305">
        <f t="shared" si="11"/>
        <v>256</v>
      </c>
      <c r="B305" t="s">
        <v>560</v>
      </c>
      <c r="C305" t="s">
        <v>561</v>
      </c>
      <c r="D305" s="47" t="s">
        <v>668</v>
      </c>
      <c r="E305" s="127" t="s">
        <v>658</v>
      </c>
      <c r="F305" t="s">
        <v>576</v>
      </c>
      <c r="G305" t="s">
        <v>565</v>
      </c>
      <c r="H305" t="s">
        <v>577</v>
      </c>
      <c r="I305" t="s">
        <v>578</v>
      </c>
      <c r="J305" t="s">
        <v>579</v>
      </c>
      <c r="L305" s="125">
        <v>44562</v>
      </c>
      <c r="M305" s="125">
        <v>44926</v>
      </c>
      <c r="N305" s="126">
        <f t="shared" si="12"/>
        <v>44926</v>
      </c>
      <c r="Q305" t="s">
        <v>566</v>
      </c>
      <c r="R305" t="s">
        <v>567</v>
      </c>
      <c r="S305" t="s">
        <v>667</v>
      </c>
      <c r="T305" t="s">
        <v>568</v>
      </c>
    </row>
    <row r="306" spans="1:20" ht="15.75" hidden="1" outlineLevel="1" x14ac:dyDescent="0.25">
      <c r="A306">
        <f t="shared" si="11"/>
        <v>257</v>
      </c>
      <c r="B306" t="s">
        <v>560</v>
      </c>
      <c r="C306" t="s">
        <v>561</v>
      </c>
      <c r="D306" s="47" t="s">
        <v>668</v>
      </c>
      <c r="E306" s="127" t="s">
        <v>659</v>
      </c>
      <c r="F306" t="s">
        <v>576</v>
      </c>
      <c r="G306" t="s">
        <v>565</v>
      </c>
      <c r="H306" t="s">
        <v>577</v>
      </c>
      <c r="I306" t="s">
        <v>578</v>
      </c>
      <c r="J306" t="s">
        <v>579</v>
      </c>
      <c r="L306" s="125">
        <v>44562</v>
      </c>
      <c r="M306" s="125">
        <v>44926</v>
      </c>
      <c r="N306" s="126">
        <f t="shared" si="12"/>
        <v>44926</v>
      </c>
      <c r="Q306" t="s">
        <v>566</v>
      </c>
      <c r="R306" t="s">
        <v>567</v>
      </c>
      <c r="S306" t="s">
        <v>667</v>
      </c>
      <c r="T306" t="s">
        <v>568</v>
      </c>
    </row>
    <row r="307" spans="1:20" ht="15.75" hidden="1" outlineLevel="1" x14ac:dyDescent="0.25">
      <c r="A307">
        <f t="shared" si="11"/>
        <v>258</v>
      </c>
      <c r="B307" t="s">
        <v>560</v>
      </c>
      <c r="C307" t="s">
        <v>561</v>
      </c>
      <c r="D307" s="47" t="s">
        <v>668</v>
      </c>
      <c r="E307" s="127" t="s">
        <v>660</v>
      </c>
      <c r="F307" t="s">
        <v>576</v>
      </c>
      <c r="G307" t="s">
        <v>565</v>
      </c>
      <c r="H307" t="s">
        <v>577</v>
      </c>
      <c r="I307" t="s">
        <v>578</v>
      </c>
      <c r="J307" t="s">
        <v>579</v>
      </c>
      <c r="L307" s="125">
        <v>44562</v>
      </c>
      <c r="M307" s="125">
        <v>44926</v>
      </c>
      <c r="N307" s="126">
        <f t="shared" si="12"/>
        <v>44926</v>
      </c>
      <c r="Q307" t="s">
        <v>566</v>
      </c>
      <c r="R307" t="s">
        <v>567</v>
      </c>
      <c r="S307" t="s">
        <v>667</v>
      </c>
      <c r="T307" t="s">
        <v>568</v>
      </c>
    </row>
    <row r="308" spans="1:20" ht="15.75" hidden="1" outlineLevel="1" x14ac:dyDescent="0.25">
      <c r="A308">
        <f t="shared" ref="A308:A371" si="13">A307+1</f>
        <v>259</v>
      </c>
      <c r="B308" t="s">
        <v>560</v>
      </c>
      <c r="C308" t="s">
        <v>561</v>
      </c>
      <c r="D308" s="47" t="s">
        <v>668</v>
      </c>
      <c r="E308" s="127" t="s">
        <v>661</v>
      </c>
      <c r="F308" t="s">
        <v>576</v>
      </c>
      <c r="G308" t="s">
        <v>565</v>
      </c>
      <c r="H308" t="s">
        <v>577</v>
      </c>
      <c r="I308" t="s">
        <v>578</v>
      </c>
      <c r="J308" t="s">
        <v>579</v>
      </c>
      <c r="L308" s="125">
        <v>44562</v>
      </c>
      <c r="M308" s="125">
        <v>44926</v>
      </c>
      <c r="N308" s="126">
        <f t="shared" ref="N308:N371" si="14">M308</f>
        <v>44926</v>
      </c>
      <c r="Q308" t="s">
        <v>566</v>
      </c>
      <c r="R308" t="s">
        <v>567</v>
      </c>
      <c r="S308" t="s">
        <v>667</v>
      </c>
      <c r="T308" t="s">
        <v>568</v>
      </c>
    </row>
    <row r="309" spans="1:20" ht="15.75" hidden="1" outlineLevel="1" x14ac:dyDescent="0.25">
      <c r="A309">
        <f t="shared" si="13"/>
        <v>260</v>
      </c>
      <c r="B309" t="s">
        <v>560</v>
      </c>
      <c r="C309" t="s">
        <v>561</v>
      </c>
      <c r="D309" s="47" t="s">
        <v>668</v>
      </c>
      <c r="E309" s="127" t="s">
        <v>662</v>
      </c>
      <c r="F309" t="s">
        <v>576</v>
      </c>
      <c r="G309" t="s">
        <v>565</v>
      </c>
      <c r="H309" t="s">
        <v>577</v>
      </c>
      <c r="I309" t="s">
        <v>578</v>
      </c>
      <c r="J309" t="s">
        <v>579</v>
      </c>
      <c r="L309" s="125">
        <v>44562</v>
      </c>
      <c r="M309" s="125">
        <v>44926</v>
      </c>
      <c r="N309" s="126">
        <f t="shared" si="14"/>
        <v>44926</v>
      </c>
      <c r="Q309" t="s">
        <v>566</v>
      </c>
      <c r="R309" t="s">
        <v>567</v>
      </c>
      <c r="S309" t="s">
        <v>667</v>
      </c>
      <c r="T309" t="s">
        <v>568</v>
      </c>
    </row>
    <row r="310" spans="1:20" ht="15.75" hidden="1" outlineLevel="1" x14ac:dyDescent="0.25">
      <c r="A310">
        <f t="shared" si="13"/>
        <v>261</v>
      </c>
      <c r="B310" t="s">
        <v>560</v>
      </c>
      <c r="C310" t="s">
        <v>561</v>
      </c>
      <c r="D310" s="47" t="s">
        <v>668</v>
      </c>
      <c r="E310" s="127" t="s">
        <v>663</v>
      </c>
      <c r="F310" t="s">
        <v>576</v>
      </c>
      <c r="G310" t="s">
        <v>565</v>
      </c>
      <c r="H310" t="s">
        <v>577</v>
      </c>
      <c r="I310" t="s">
        <v>578</v>
      </c>
      <c r="J310" t="s">
        <v>579</v>
      </c>
      <c r="L310" s="125">
        <v>44562</v>
      </c>
      <c r="M310" s="125">
        <v>44926</v>
      </c>
      <c r="N310" s="126">
        <f t="shared" si="14"/>
        <v>44926</v>
      </c>
      <c r="Q310" t="s">
        <v>566</v>
      </c>
      <c r="R310" t="s">
        <v>567</v>
      </c>
      <c r="S310" t="s">
        <v>667</v>
      </c>
      <c r="T310" t="s">
        <v>568</v>
      </c>
    </row>
    <row r="311" spans="1:20" ht="15.75" hidden="1" outlineLevel="1" x14ac:dyDescent="0.25">
      <c r="A311">
        <f t="shared" si="13"/>
        <v>262</v>
      </c>
      <c r="B311" t="s">
        <v>560</v>
      </c>
      <c r="C311" t="s">
        <v>561</v>
      </c>
      <c r="D311" s="47" t="s">
        <v>668</v>
      </c>
      <c r="E311" s="127" t="s">
        <v>664</v>
      </c>
      <c r="F311" t="s">
        <v>576</v>
      </c>
      <c r="G311" t="s">
        <v>565</v>
      </c>
      <c r="H311" t="s">
        <v>577</v>
      </c>
      <c r="I311" t="s">
        <v>578</v>
      </c>
      <c r="J311" t="s">
        <v>579</v>
      </c>
      <c r="L311" s="125">
        <v>44562</v>
      </c>
      <c r="M311" s="125">
        <v>44926</v>
      </c>
      <c r="N311" s="126">
        <f t="shared" si="14"/>
        <v>44926</v>
      </c>
      <c r="Q311" t="s">
        <v>566</v>
      </c>
      <c r="R311" t="s">
        <v>567</v>
      </c>
      <c r="S311" t="s">
        <v>667</v>
      </c>
      <c r="T311" t="s">
        <v>568</v>
      </c>
    </row>
    <row r="312" spans="1:20" ht="15.75" hidden="1" outlineLevel="1" x14ac:dyDescent="0.25">
      <c r="A312">
        <f t="shared" si="13"/>
        <v>263</v>
      </c>
      <c r="B312" t="s">
        <v>560</v>
      </c>
      <c r="C312" t="s">
        <v>561</v>
      </c>
      <c r="D312" s="47" t="s">
        <v>668</v>
      </c>
      <c r="E312" s="127" t="s">
        <v>665</v>
      </c>
      <c r="F312" t="s">
        <v>576</v>
      </c>
      <c r="G312" t="s">
        <v>565</v>
      </c>
      <c r="H312" t="s">
        <v>577</v>
      </c>
      <c r="I312" t="s">
        <v>578</v>
      </c>
      <c r="J312" t="s">
        <v>579</v>
      </c>
      <c r="L312" s="125">
        <v>44562</v>
      </c>
      <c r="M312" s="125">
        <v>44926</v>
      </c>
      <c r="N312" s="126">
        <f t="shared" si="14"/>
        <v>44926</v>
      </c>
      <c r="Q312" t="s">
        <v>566</v>
      </c>
      <c r="R312" t="s">
        <v>567</v>
      </c>
      <c r="S312" t="s">
        <v>667</v>
      </c>
      <c r="T312" t="s">
        <v>568</v>
      </c>
    </row>
    <row r="313" spans="1:20" ht="15.75" hidden="1" outlineLevel="1" x14ac:dyDescent="0.25">
      <c r="A313">
        <f t="shared" si="13"/>
        <v>264</v>
      </c>
      <c r="B313" t="s">
        <v>560</v>
      </c>
      <c r="C313" t="s">
        <v>561</v>
      </c>
      <c r="D313" s="47" t="s">
        <v>668</v>
      </c>
      <c r="E313" s="127" t="s">
        <v>575</v>
      </c>
      <c r="F313" t="s">
        <v>576</v>
      </c>
      <c r="G313" t="s">
        <v>565</v>
      </c>
      <c r="H313" t="s">
        <v>577</v>
      </c>
      <c r="I313" t="s">
        <v>578</v>
      </c>
      <c r="J313" t="s">
        <v>579</v>
      </c>
      <c r="L313" s="125">
        <v>44562</v>
      </c>
      <c r="M313" s="125">
        <v>44926</v>
      </c>
      <c r="N313" s="126">
        <f t="shared" si="14"/>
        <v>44926</v>
      </c>
      <c r="Q313" t="s">
        <v>566</v>
      </c>
      <c r="R313" t="s">
        <v>567</v>
      </c>
      <c r="S313" t="s">
        <v>667</v>
      </c>
      <c r="T313" t="s">
        <v>568</v>
      </c>
    </row>
    <row r="314" spans="1:20" ht="15.75" hidden="1" outlineLevel="1" x14ac:dyDescent="0.25">
      <c r="A314">
        <f t="shared" si="13"/>
        <v>265</v>
      </c>
      <c r="B314" t="s">
        <v>560</v>
      </c>
      <c r="C314" t="s">
        <v>561</v>
      </c>
      <c r="D314" s="47" t="s">
        <v>668</v>
      </c>
      <c r="E314" s="127" t="s">
        <v>580</v>
      </c>
      <c r="F314" t="s">
        <v>576</v>
      </c>
      <c r="G314" t="s">
        <v>565</v>
      </c>
      <c r="H314" t="s">
        <v>577</v>
      </c>
      <c r="I314" t="s">
        <v>578</v>
      </c>
      <c r="J314" t="s">
        <v>579</v>
      </c>
      <c r="L314" s="125">
        <v>44562</v>
      </c>
      <c r="M314" s="125">
        <v>44926</v>
      </c>
      <c r="N314" s="126">
        <f t="shared" si="14"/>
        <v>44926</v>
      </c>
      <c r="Q314" t="s">
        <v>566</v>
      </c>
      <c r="R314" t="s">
        <v>567</v>
      </c>
      <c r="S314" t="s">
        <v>667</v>
      </c>
      <c r="T314" t="s">
        <v>568</v>
      </c>
    </row>
    <row r="315" spans="1:20" ht="15.75" hidden="1" outlineLevel="1" x14ac:dyDescent="0.25">
      <c r="A315">
        <f t="shared" si="13"/>
        <v>266</v>
      </c>
      <c r="B315" t="s">
        <v>560</v>
      </c>
      <c r="C315" t="s">
        <v>561</v>
      </c>
      <c r="D315" s="47" t="s">
        <v>668</v>
      </c>
      <c r="E315" s="127" t="s">
        <v>581</v>
      </c>
      <c r="F315" t="s">
        <v>576</v>
      </c>
      <c r="G315" t="s">
        <v>565</v>
      </c>
      <c r="H315" t="s">
        <v>577</v>
      </c>
      <c r="I315" t="s">
        <v>578</v>
      </c>
      <c r="J315" t="s">
        <v>579</v>
      </c>
      <c r="L315" s="125">
        <v>44562</v>
      </c>
      <c r="M315" s="125">
        <v>44926</v>
      </c>
      <c r="N315" s="126">
        <f t="shared" si="14"/>
        <v>44926</v>
      </c>
      <c r="Q315" t="s">
        <v>566</v>
      </c>
      <c r="R315" t="s">
        <v>567</v>
      </c>
      <c r="S315" t="s">
        <v>667</v>
      </c>
      <c r="T315" t="s">
        <v>568</v>
      </c>
    </row>
    <row r="316" spans="1:20" ht="15.75" hidden="1" outlineLevel="1" x14ac:dyDescent="0.25">
      <c r="A316">
        <f t="shared" si="13"/>
        <v>267</v>
      </c>
      <c r="B316" t="s">
        <v>560</v>
      </c>
      <c r="C316" t="s">
        <v>561</v>
      </c>
      <c r="D316" s="47" t="s">
        <v>668</v>
      </c>
      <c r="E316" s="127" t="s">
        <v>582</v>
      </c>
      <c r="F316" t="s">
        <v>576</v>
      </c>
      <c r="G316" t="s">
        <v>565</v>
      </c>
      <c r="H316" t="s">
        <v>577</v>
      </c>
      <c r="I316" t="s">
        <v>578</v>
      </c>
      <c r="J316" t="s">
        <v>579</v>
      </c>
      <c r="L316" s="125">
        <v>44562</v>
      </c>
      <c r="M316" s="125">
        <v>44926</v>
      </c>
      <c r="N316" s="126">
        <f t="shared" si="14"/>
        <v>44926</v>
      </c>
      <c r="Q316" t="s">
        <v>566</v>
      </c>
      <c r="R316" t="s">
        <v>567</v>
      </c>
      <c r="S316" t="s">
        <v>667</v>
      </c>
      <c r="T316" t="s">
        <v>568</v>
      </c>
    </row>
    <row r="317" spans="1:20" ht="15.75" hidden="1" outlineLevel="1" x14ac:dyDescent="0.25">
      <c r="A317">
        <f t="shared" si="13"/>
        <v>268</v>
      </c>
      <c r="B317" t="s">
        <v>560</v>
      </c>
      <c r="C317" t="s">
        <v>561</v>
      </c>
      <c r="D317" s="47" t="s">
        <v>668</v>
      </c>
      <c r="E317" s="127" t="s">
        <v>583</v>
      </c>
      <c r="F317" t="s">
        <v>576</v>
      </c>
      <c r="G317" t="s">
        <v>565</v>
      </c>
      <c r="H317" t="s">
        <v>577</v>
      </c>
      <c r="I317" t="s">
        <v>578</v>
      </c>
      <c r="J317" t="s">
        <v>579</v>
      </c>
      <c r="L317" s="125">
        <v>44562</v>
      </c>
      <c r="M317" s="125">
        <v>44926</v>
      </c>
      <c r="N317" s="126">
        <f t="shared" si="14"/>
        <v>44926</v>
      </c>
      <c r="Q317" t="s">
        <v>566</v>
      </c>
      <c r="R317" t="s">
        <v>567</v>
      </c>
      <c r="S317" t="s">
        <v>667</v>
      </c>
      <c r="T317" t="s">
        <v>568</v>
      </c>
    </row>
    <row r="318" spans="1:20" ht="15.75" hidden="1" outlineLevel="1" x14ac:dyDescent="0.25">
      <c r="A318">
        <f t="shared" si="13"/>
        <v>269</v>
      </c>
      <c r="B318" t="s">
        <v>560</v>
      </c>
      <c r="C318" t="s">
        <v>561</v>
      </c>
      <c r="D318" s="47" t="s">
        <v>668</v>
      </c>
      <c r="E318" s="127" t="s">
        <v>584</v>
      </c>
      <c r="F318" t="s">
        <v>576</v>
      </c>
      <c r="G318" t="s">
        <v>565</v>
      </c>
      <c r="H318" t="s">
        <v>577</v>
      </c>
      <c r="I318" t="s">
        <v>578</v>
      </c>
      <c r="J318" t="s">
        <v>579</v>
      </c>
      <c r="L318" s="125">
        <v>44562</v>
      </c>
      <c r="M318" s="125">
        <v>44926</v>
      </c>
      <c r="N318" s="126">
        <f t="shared" si="14"/>
        <v>44926</v>
      </c>
      <c r="Q318" t="s">
        <v>566</v>
      </c>
      <c r="R318" t="s">
        <v>567</v>
      </c>
      <c r="S318" t="s">
        <v>667</v>
      </c>
      <c r="T318" t="s">
        <v>568</v>
      </c>
    </row>
    <row r="319" spans="1:20" ht="15.75" hidden="1" outlineLevel="1" x14ac:dyDescent="0.25">
      <c r="A319">
        <f t="shared" si="13"/>
        <v>270</v>
      </c>
      <c r="B319" t="s">
        <v>560</v>
      </c>
      <c r="C319" t="s">
        <v>561</v>
      </c>
      <c r="D319" s="47" t="s">
        <v>668</v>
      </c>
      <c r="E319" s="127" t="s">
        <v>585</v>
      </c>
      <c r="F319" t="s">
        <v>576</v>
      </c>
      <c r="G319" t="s">
        <v>565</v>
      </c>
      <c r="H319" t="s">
        <v>577</v>
      </c>
      <c r="I319" t="s">
        <v>578</v>
      </c>
      <c r="J319" t="s">
        <v>579</v>
      </c>
      <c r="L319" s="125">
        <v>44562</v>
      </c>
      <c r="M319" s="125">
        <v>44926</v>
      </c>
      <c r="N319" s="126">
        <f t="shared" si="14"/>
        <v>44926</v>
      </c>
      <c r="Q319" t="s">
        <v>566</v>
      </c>
      <c r="R319" t="s">
        <v>567</v>
      </c>
      <c r="S319" t="s">
        <v>667</v>
      </c>
      <c r="T319" t="s">
        <v>568</v>
      </c>
    </row>
    <row r="320" spans="1:20" ht="15.75" hidden="1" outlineLevel="1" x14ac:dyDescent="0.25">
      <c r="A320">
        <f t="shared" si="13"/>
        <v>271</v>
      </c>
      <c r="B320" t="s">
        <v>560</v>
      </c>
      <c r="C320" t="s">
        <v>561</v>
      </c>
      <c r="D320" s="47" t="s">
        <v>668</v>
      </c>
      <c r="E320" s="127" t="s">
        <v>586</v>
      </c>
      <c r="F320" t="s">
        <v>576</v>
      </c>
      <c r="G320" t="s">
        <v>565</v>
      </c>
      <c r="H320" t="s">
        <v>577</v>
      </c>
      <c r="I320" t="s">
        <v>578</v>
      </c>
      <c r="J320" t="s">
        <v>579</v>
      </c>
      <c r="L320" s="125">
        <v>44562</v>
      </c>
      <c r="M320" s="125">
        <v>44926</v>
      </c>
      <c r="N320" s="126">
        <f t="shared" si="14"/>
        <v>44926</v>
      </c>
      <c r="Q320" t="s">
        <v>566</v>
      </c>
      <c r="R320" t="s">
        <v>567</v>
      </c>
      <c r="S320" t="s">
        <v>667</v>
      </c>
      <c r="T320" t="s">
        <v>568</v>
      </c>
    </row>
    <row r="321" spans="1:20" ht="15.75" hidden="1" outlineLevel="1" x14ac:dyDescent="0.25">
      <c r="A321">
        <f t="shared" si="13"/>
        <v>272</v>
      </c>
      <c r="B321" t="s">
        <v>560</v>
      </c>
      <c r="C321" t="s">
        <v>561</v>
      </c>
      <c r="D321" s="47" t="s">
        <v>668</v>
      </c>
      <c r="E321" s="127" t="s">
        <v>587</v>
      </c>
      <c r="F321" t="s">
        <v>576</v>
      </c>
      <c r="G321" t="s">
        <v>565</v>
      </c>
      <c r="H321" t="s">
        <v>577</v>
      </c>
      <c r="I321" t="s">
        <v>578</v>
      </c>
      <c r="J321" t="s">
        <v>579</v>
      </c>
      <c r="L321" s="125">
        <v>44562</v>
      </c>
      <c r="M321" s="125">
        <v>44926</v>
      </c>
      <c r="N321" s="126">
        <f t="shared" si="14"/>
        <v>44926</v>
      </c>
      <c r="Q321" t="s">
        <v>566</v>
      </c>
      <c r="R321" t="s">
        <v>567</v>
      </c>
      <c r="S321" t="s">
        <v>667</v>
      </c>
      <c r="T321" t="s">
        <v>568</v>
      </c>
    </row>
    <row r="322" spans="1:20" ht="15.75" hidden="1" outlineLevel="1" x14ac:dyDescent="0.25">
      <c r="A322">
        <f t="shared" si="13"/>
        <v>273</v>
      </c>
      <c r="B322" t="s">
        <v>560</v>
      </c>
      <c r="C322" t="s">
        <v>561</v>
      </c>
      <c r="D322" s="47" t="s">
        <v>668</v>
      </c>
      <c r="E322" s="127" t="s">
        <v>588</v>
      </c>
      <c r="F322" t="s">
        <v>576</v>
      </c>
      <c r="G322" t="s">
        <v>565</v>
      </c>
      <c r="H322" t="s">
        <v>577</v>
      </c>
      <c r="I322" t="s">
        <v>578</v>
      </c>
      <c r="J322" t="s">
        <v>579</v>
      </c>
      <c r="L322" s="125">
        <v>44562</v>
      </c>
      <c r="M322" s="125">
        <v>44926</v>
      </c>
      <c r="N322" s="126">
        <f t="shared" si="14"/>
        <v>44926</v>
      </c>
      <c r="Q322" t="s">
        <v>566</v>
      </c>
      <c r="R322" t="s">
        <v>567</v>
      </c>
      <c r="S322" t="s">
        <v>667</v>
      </c>
      <c r="T322" t="s">
        <v>568</v>
      </c>
    </row>
    <row r="323" spans="1:20" ht="15.75" hidden="1" outlineLevel="1" x14ac:dyDescent="0.25">
      <c r="A323">
        <f t="shared" si="13"/>
        <v>274</v>
      </c>
      <c r="B323" t="s">
        <v>560</v>
      </c>
      <c r="C323" t="s">
        <v>561</v>
      </c>
      <c r="D323" s="47" t="s">
        <v>668</v>
      </c>
      <c r="E323" s="127" t="s">
        <v>589</v>
      </c>
      <c r="F323" t="s">
        <v>576</v>
      </c>
      <c r="G323" t="s">
        <v>565</v>
      </c>
      <c r="H323" t="s">
        <v>577</v>
      </c>
      <c r="I323" t="s">
        <v>578</v>
      </c>
      <c r="J323" t="s">
        <v>579</v>
      </c>
      <c r="L323" s="125">
        <v>44562</v>
      </c>
      <c r="M323" s="125">
        <v>44926</v>
      </c>
      <c r="N323" s="126">
        <f t="shared" si="14"/>
        <v>44926</v>
      </c>
      <c r="Q323" t="s">
        <v>566</v>
      </c>
      <c r="R323" t="s">
        <v>567</v>
      </c>
      <c r="S323" t="s">
        <v>667</v>
      </c>
      <c r="T323" t="s">
        <v>568</v>
      </c>
    </row>
    <row r="324" spans="1:20" ht="15.75" hidden="1" outlineLevel="1" x14ac:dyDescent="0.25">
      <c r="A324">
        <f t="shared" si="13"/>
        <v>275</v>
      </c>
      <c r="B324" t="s">
        <v>560</v>
      </c>
      <c r="C324" t="s">
        <v>561</v>
      </c>
      <c r="D324" s="47" t="s">
        <v>668</v>
      </c>
      <c r="E324" s="127" t="s">
        <v>590</v>
      </c>
      <c r="F324" t="s">
        <v>576</v>
      </c>
      <c r="G324" t="s">
        <v>565</v>
      </c>
      <c r="H324" t="s">
        <v>577</v>
      </c>
      <c r="I324" t="s">
        <v>578</v>
      </c>
      <c r="J324" t="s">
        <v>579</v>
      </c>
      <c r="L324" s="125">
        <v>44562</v>
      </c>
      <c r="M324" s="125">
        <v>44926</v>
      </c>
      <c r="N324" s="126">
        <f t="shared" si="14"/>
        <v>44926</v>
      </c>
      <c r="Q324" t="s">
        <v>566</v>
      </c>
      <c r="R324" t="s">
        <v>567</v>
      </c>
      <c r="S324" t="s">
        <v>667</v>
      </c>
      <c r="T324" t="s">
        <v>568</v>
      </c>
    </row>
    <row r="325" spans="1:20" ht="15.75" hidden="1" outlineLevel="1" x14ac:dyDescent="0.25">
      <c r="A325">
        <f t="shared" si="13"/>
        <v>276</v>
      </c>
      <c r="B325" t="s">
        <v>560</v>
      </c>
      <c r="C325" t="s">
        <v>561</v>
      </c>
      <c r="D325" s="47" t="s">
        <v>668</v>
      </c>
      <c r="E325" s="127" t="s">
        <v>591</v>
      </c>
      <c r="F325" t="s">
        <v>576</v>
      </c>
      <c r="G325" t="s">
        <v>565</v>
      </c>
      <c r="H325" t="s">
        <v>577</v>
      </c>
      <c r="I325" t="s">
        <v>578</v>
      </c>
      <c r="J325" t="s">
        <v>579</v>
      </c>
      <c r="L325" s="125">
        <v>44562</v>
      </c>
      <c r="M325" s="125">
        <v>44926</v>
      </c>
      <c r="N325" s="126">
        <f t="shared" si="14"/>
        <v>44926</v>
      </c>
      <c r="Q325" t="s">
        <v>566</v>
      </c>
      <c r="R325" t="s">
        <v>567</v>
      </c>
      <c r="S325" t="s">
        <v>667</v>
      </c>
      <c r="T325" t="s">
        <v>568</v>
      </c>
    </row>
    <row r="326" spans="1:20" ht="15.75" hidden="1" outlineLevel="1" x14ac:dyDescent="0.25">
      <c r="A326">
        <f t="shared" si="13"/>
        <v>277</v>
      </c>
      <c r="B326" t="s">
        <v>560</v>
      </c>
      <c r="C326" t="s">
        <v>561</v>
      </c>
      <c r="D326" s="47" t="s">
        <v>668</v>
      </c>
      <c r="E326" s="127" t="s">
        <v>592</v>
      </c>
      <c r="F326" t="s">
        <v>576</v>
      </c>
      <c r="G326" t="s">
        <v>565</v>
      </c>
      <c r="H326" t="s">
        <v>577</v>
      </c>
      <c r="I326" t="s">
        <v>578</v>
      </c>
      <c r="J326" t="s">
        <v>579</v>
      </c>
      <c r="L326" s="125">
        <v>44562</v>
      </c>
      <c r="M326" s="125">
        <v>44926</v>
      </c>
      <c r="N326" s="126">
        <f t="shared" si="14"/>
        <v>44926</v>
      </c>
      <c r="Q326" t="s">
        <v>566</v>
      </c>
      <c r="R326" t="s">
        <v>567</v>
      </c>
      <c r="S326" t="s">
        <v>667</v>
      </c>
      <c r="T326" t="s">
        <v>568</v>
      </c>
    </row>
    <row r="327" spans="1:20" ht="15.75" hidden="1" outlineLevel="1" x14ac:dyDescent="0.25">
      <c r="A327">
        <f t="shared" si="13"/>
        <v>278</v>
      </c>
      <c r="B327" t="s">
        <v>560</v>
      </c>
      <c r="C327" t="s">
        <v>561</v>
      </c>
      <c r="D327" s="47" t="s">
        <v>668</v>
      </c>
      <c r="E327" s="127" t="s">
        <v>593</v>
      </c>
      <c r="F327" t="s">
        <v>576</v>
      </c>
      <c r="G327" t="s">
        <v>565</v>
      </c>
      <c r="H327" t="s">
        <v>577</v>
      </c>
      <c r="I327" t="s">
        <v>578</v>
      </c>
      <c r="J327" t="s">
        <v>579</v>
      </c>
      <c r="L327" s="125">
        <v>44562</v>
      </c>
      <c r="M327" s="125">
        <v>44926</v>
      </c>
      <c r="N327" s="126">
        <f t="shared" si="14"/>
        <v>44926</v>
      </c>
      <c r="Q327" t="s">
        <v>566</v>
      </c>
      <c r="R327" t="s">
        <v>567</v>
      </c>
      <c r="S327" t="s">
        <v>667</v>
      </c>
      <c r="T327" t="s">
        <v>568</v>
      </c>
    </row>
    <row r="328" spans="1:20" ht="15.75" hidden="1" outlineLevel="1" x14ac:dyDescent="0.25">
      <c r="A328">
        <f t="shared" si="13"/>
        <v>279</v>
      </c>
      <c r="B328" t="s">
        <v>560</v>
      </c>
      <c r="C328" t="s">
        <v>561</v>
      </c>
      <c r="D328" s="47" t="s">
        <v>668</v>
      </c>
      <c r="E328" s="127" t="s">
        <v>594</v>
      </c>
      <c r="F328" t="s">
        <v>576</v>
      </c>
      <c r="G328" t="s">
        <v>565</v>
      </c>
      <c r="H328" t="s">
        <v>577</v>
      </c>
      <c r="I328" t="s">
        <v>578</v>
      </c>
      <c r="J328" t="s">
        <v>579</v>
      </c>
      <c r="L328" s="125">
        <v>44562</v>
      </c>
      <c r="M328" s="125">
        <v>44926</v>
      </c>
      <c r="N328" s="126">
        <f t="shared" si="14"/>
        <v>44926</v>
      </c>
      <c r="Q328" t="s">
        <v>566</v>
      </c>
      <c r="R328" t="s">
        <v>567</v>
      </c>
      <c r="S328" t="s">
        <v>667</v>
      </c>
      <c r="T328" t="s">
        <v>568</v>
      </c>
    </row>
    <row r="329" spans="1:20" ht="15.75" hidden="1" outlineLevel="1" x14ac:dyDescent="0.25">
      <c r="A329">
        <f t="shared" si="13"/>
        <v>280</v>
      </c>
      <c r="B329" t="s">
        <v>560</v>
      </c>
      <c r="C329" t="s">
        <v>561</v>
      </c>
      <c r="D329" s="47" t="s">
        <v>668</v>
      </c>
      <c r="E329" s="127" t="s">
        <v>595</v>
      </c>
      <c r="F329" t="s">
        <v>576</v>
      </c>
      <c r="G329" t="s">
        <v>565</v>
      </c>
      <c r="H329" t="s">
        <v>577</v>
      </c>
      <c r="I329" t="s">
        <v>578</v>
      </c>
      <c r="J329" t="s">
        <v>579</v>
      </c>
      <c r="L329" s="125">
        <v>44562</v>
      </c>
      <c r="M329" s="125">
        <v>44926</v>
      </c>
      <c r="N329" s="126">
        <f t="shared" si="14"/>
        <v>44926</v>
      </c>
      <c r="Q329" t="s">
        <v>566</v>
      </c>
      <c r="R329" t="s">
        <v>567</v>
      </c>
      <c r="S329" t="s">
        <v>667</v>
      </c>
      <c r="T329" t="s">
        <v>568</v>
      </c>
    </row>
    <row r="330" spans="1:20" ht="15.75" hidden="1" outlineLevel="1" x14ac:dyDescent="0.25">
      <c r="A330">
        <f t="shared" si="13"/>
        <v>281</v>
      </c>
      <c r="B330" t="s">
        <v>560</v>
      </c>
      <c r="C330" t="s">
        <v>561</v>
      </c>
      <c r="D330" s="47" t="s">
        <v>668</v>
      </c>
      <c r="E330" s="127" t="s">
        <v>596</v>
      </c>
      <c r="F330" t="s">
        <v>576</v>
      </c>
      <c r="G330" t="s">
        <v>565</v>
      </c>
      <c r="H330" t="s">
        <v>577</v>
      </c>
      <c r="I330" t="s">
        <v>578</v>
      </c>
      <c r="J330" t="s">
        <v>579</v>
      </c>
      <c r="L330" s="125">
        <v>44562</v>
      </c>
      <c r="M330" s="125">
        <v>44926</v>
      </c>
      <c r="N330" s="126">
        <f t="shared" si="14"/>
        <v>44926</v>
      </c>
      <c r="Q330" t="s">
        <v>566</v>
      </c>
      <c r="R330" t="s">
        <v>567</v>
      </c>
      <c r="S330" t="s">
        <v>667</v>
      </c>
      <c r="T330" t="s">
        <v>568</v>
      </c>
    </row>
    <row r="331" spans="1:20" ht="15.75" hidden="1" outlineLevel="1" x14ac:dyDescent="0.25">
      <c r="A331">
        <f t="shared" si="13"/>
        <v>282</v>
      </c>
      <c r="B331" t="s">
        <v>560</v>
      </c>
      <c r="C331" t="s">
        <v>561</v>
      </c>
      <c r="D331" s="47" t="s">
        <v>668</v>
      </c>
      <c r="E331" s="127" t="s">
        <v>597</v>
      </c>
      <c r="F331" t="s">
        <v>576</v>
      </c>
      <c r="G331" t="s">
        <v>565</v>
      </c>
      <c r="H331" t="s">
        <v>577</v>
      </c>
      <c r="I331" t="s">
        <v>578</v>
      </c>
      <c r="J331" t="s">
        <v>579</v>
      </c>
      <c r="L331" s="125">
        <v>44562</v>
      </c>
      <c r="M331" s="125">
        <v>44926</v>
      </c>
      <c r="N331" s="126">
        <f t="shared" si="14"/>
        <v>44926</v>
      </c>
      <c r="Q331" t="s">
        <v>566</v>
      </c>
      <c r="R331" t="s">
        <v>567</v>
      </c>
      <c r="S331" t="s">
        <v>667</v>
      </c>
      <c r="T331" t="s">
        <v>568</v>
      </c>
    </row>
    <row r="332" spans="1:20" ht="15.75" hidden="1" outlineLevel="1" x14ac:dyDescent="0.25">
      <c r="A332">
        <f t="shared" si="13"/>
        <v>283</v>
      </c>
      <c r="B332" t="s">
        <v>560</v>
      </c>
      <c r="C332" t="s">
        <v>561</v>
      </c>
      <c r="D332" s="47" t="s">
        <v>668</v>
      </c>
      <c r="E332" s="127" t="s">
        <v>598</v>
      </c>
      <c r="F332" t="s">
        <v>576</v>
      </c>
      <c r="G332" t="s">
        <v>565</v>
      </c>
      <c r="H332" t="s">
        <v>577</v>
      </c>
      <c r="I332" t="s">
        <v>578</v>
      </c>
      <c r="J332" t="s">
        <v>579</v>
      </c>
      <c r="L332" s="125">
        <v>44562</v>
      </c>
      <c r="M332" s="125">
        <v>44926</v>
      </c>
      <c r="N332" s="126">
        <f t="shared" si="14"/>
        <v>44926</v>
      </c>
      <c r="Q332" t="s">
        <v>566</v>
      </c>
      <c r="R332" t="s">
        <v>567</v>
      </c>
      <c r="S332" t="s">
        <v>667</v>
      </c>
      <c r="T332" t="s">
        <v>568</v>
      </c>
    </row>
    <row r="333" spans="1:20" ht="15.75" hidden="1" outlineLevel="1" x14ac:dyDescent="0.25">
      <c r="A333">
        <f t="shared" si="13"/>
        <v>284</v>
      </c>
      <c r="B333" t="s">
        <v>560</v>
      </c>
      <c r="C333" t="s">
        <v>561</v>
      </c>
      <c r="D333" s="47" t="s">
        <v>668</v>
      </c>
      <c r="E333" s="127" t="s">
        <v>599</v>
      </c>
      <c r="F333" t="s">
        <v>576</v>
      </c>
      <c r="G333" t="s">
        <v>565</v>
      </c>
      <c r="H333" t="s">
        <v>577</v>
      </c>
      <c r="I333" t="s">
        <v>578</v>
      </c>
      <c r="J333" t="s">
        <v>579</v>
      </c>
      <c r="L333" s="125">
        <v>44562</v>
      </c>
      <c r="M333" s="125">
        <v>44926</v>
      </c>
      <c r="N333" s="126">
        <f t="shared" si="14"/>
        <v>44926</v>
      </c>
      <c r="Q333" t="s">
        <v>566</v>
      </c>
      <c r="R333" t="s">
        <v>567</v>
      </c>
      <c r="S333" t="s">
        <v>667</v>
      </c>
      <c r="T333" t="s">
        <v>568</v>
      </c>
    </row>
    <row r="334" spans="1:20" ht="15.75" hidden="1" outlineLevel="1" x14ac:dyDescent="0.25">
      <c r="A334">
        <f t="shared" si="13"/>
        <v>285</v>
      </c>
      <c r="B334" t="s">
        <v>560</v>
      </c>
      <c r="C334" t="s">
        <v>561</v>
      </c>
      <c r="D334" s="47" t="s">
        <v>668</v>
      </c>
      <c r="E334" s="127" t="s">
        <v>600</v>
      </c>
      <c r="F334" t="s">
        <v>576</v>
      </c>
      <c r="G334" t="s">
        <v>565</v>
      </c>
      <c r="H334" t="s">
        <v>577</v>
      </c>
      <c r="I334" t="s">
        <v>578</v>
      </c>
      <c r="J334" t="s">
        <v>579</v>
      </c>
      <c r="L334" s="125">
        <v>44562</v>
      </c>
      <c r="M334" s="125">
        <v>44926</v>
      </c>
      <c r="N334" s="126">
        <f t="shared" si="14"/>
        <v>44926</v>
      </c>
      <c r="Q334" t="s">
        <v>566</v>
      </c>
      <c r="R334" t="s">
        <v>567</v>
      </c>
      <c r="S334" t="s">
        <v>667</v>
      </c>
      <c r="T334" t="s">
        <v>568</v>
      </c>
    </row>
    <row r="335" spans="1:20" ht="15.75" hidden="1" outlineLevel="1" x14ac:dyDescent="0.25">
      <c r="A335">
        <f t="shared" si="13"/>
        <v>286</v>
      </c>
      <c r="B335" t="s">
        <v>560</v>
      </c>
      <c r="C335" t="s">
        <v>561</v>
      </c>
      <c r="D335" s="47" t="s">
        <v>668</v>
      </c>
      <c r="E335" s="127" t="s">
        <v>601</v>
      </c>
      <c r="F335" t="s">
        <v>576</v>
      </c>
      <c r="G335" t="s">
        <v>565</v>
      </c>
      <c r="H335" t="s">
        <v>577</v>
      </c>
      <c r="I335" t="s">
        <v>578</v>
      </c>
      <c r="J335" t="s">
        <v>579</v>
      </c>
      <c r="L335" s="125">
        <v>44562</v>
      </c>
      <c r="M335" s="125">
        <v>44926</v>
      </c>
      <c r="N335" s="126">
        <f t="shared" si="14"/>
        <v>44926</v>
      </c>
      <c r="Q335" t="s">
        <v>566</v>
      </c>
      <c r="R335" t="s">
        <v>567</v>
      </c>
      <c r="S335" t="s">
        <v>667</v>
      </c>
      <c r="T335" t="s">
        <v>568</v>
      </c>
    </row>
    <row r="336" spans="1:20" ht="15.75" hidden="1" outlineLevel="1" x14ac:dyDescent="0.25">
      <c r="A336">
        <f t="shared" si="13"/>
        <v>287</v>
      </c>
      <c r="B336" t="s">
        <v>560</v>
      </c>
      <c r="C336" t="s">
        <v>561</v>
      </c>
      <c r="D336" s="47" t="s">
        <v>668</v>
      </c>
      <c r="E336" s="127" t="s">
        <v>602</v>
      </c>
      <c r="F336" t="s">
        <v>576</v>
      </c>
      <c r="G336" t="s">
        <v>565</v>
      </c>
      <c r="H336" t="s">
        <v>577</v>
      </c>
      <c r="I336" t="s">
        <v>578</v>
      </c>
      <c r="J336" t="s">
        <v>579</v>
      </c>
      <c r="L336" s="125">
        <v>44562</v>
      </c>
      <c r="M336" s="125">
        <v>44926</v>
      </c>
      <c r="N336" s="126">
        <f t="shared" si="14"/>
        <v>44926</v>
      </c>
      <c r="Q336" t="s">
        <v>566</v>
      </c>
      <c r="R336" t="s">
        <v>567</v>
      </c>
      <c r="S336" t="s">
        <v>667</v>
      </c>
      <c r="T336" t="s">
        <v>568</v>
      </c>
    </row>
    <row r="337" spans="1:20" ht="15.75" hidden="1" outlineLevel="1" x14ac:dyDescent="0.25">
      <c r="A337">
        <f t="shared" si="13"/>
        <v>288</v>
      </c>
      <c r="B337" t="s">
        <v>560</v>
      </c>
      <c r="C337" t="s">
        <v>561</v>
      </c>
      <c r="D337" s="47" t="s">
        <v>668</v>
      </c>
      <c r="E337" s="127" t="s">
        <v>603</v>
      </c>
      <c r="F337" t="s">
        <v>576</v>
      </c>
      <c r="G337" t="s">
        <v>565</v>
      </c>
      <c r="H337" t="s">
        <v>577</v>
      </c>
      <c r="I337" t="s">
        <v>578</v>
      </c>
      <c r="J337" t="s">
        <v>579</v>
      </c>
      <c r="L337" s="125">
        <v>44562</v>
      </c>
      <c r="M337" s="125">
        <v>44926</v>
      </c>
      <c r="N337" s="126">
        <f t="shared" si="14"/>
        <v>44926</v>
      </c>
      <c r="Q337" t="s">
        <v>566</v>
      </c>
      <c r="R337" t="s">
        <v>567</v>
      </c>
      <c r="S337" t="s">
        <v>667</v>
      </c>
      <c r="T337" t="s">
        <v>568</v>
      </c>
    </row>
    <row r="338" spans="1:20" ht="15.75" hidden="1" outlineLevel="1" x14ac:dyDescent="0.25">
      <c r="A338">
        <f t="shared" si="13"/>
        <v>289</v>
      </c>
      <c r="B338" t="s">
        <v>560</v>
      </c>
      <c r="C338" t="s">
        <v>561</v>
      </c>
      <c r="D338" s="47" t="s">
        <v>668</v>
      </c>
      <c r="E338" s="127" t="s">
        <v>604</v>
      </c>
      <c r="F338" t="s">
        <v>576</v>
      </c>
      <c r="G338" t="s">
        <v>565</v>
      </c>
      <c r="H338" t="s">
        <v>577</v>
      </c>
      <c r="I338" t="s">
        <v>578</v>
      </c>
      <c r="J338" t="s">
        <v>579</v>
      </c>
      <c r="L338" s="125">
        <v>44562</v>
      </c>
      <c r="M338" s="125">
        <v>44926</v>
      </c>
      <c r="N338" s="126">
        <f t="shared" si="14"/>
        <v>44926</v>
      </c>
      <c r="Q338" t="s">
        <v>566</v>
      </c>
      <c r="R338" t="s">
        <v>567</v>
      </c>
      <c r="S338" t="s">
        <v>667</v>
      </c>
      <c r="T338" t="s">
        <v>568</v>
      </c>
    </row>
    <row r="339" spans="1:20" ht="15.75" hidden="1" outlineLevel="1" x14ac:dyDescent="0.25">
      <c r="A339">
        <f t="shared" si="13"/>
        <v>290</v>
      </c>
      <c r="B339" t="s">
        <v>560</v>
      </c>
      <c r="C339" t="s">
        <v>561</v>
      </c>
      <c r="D339" s="47" t="s">
        <v>668</v>
      </c>
      <c r="E339" s="127" t="s">
        <v>605</v>
      </c>
      <c r="F339" t="s">
        <v>576</v>
      </c>
      <c r="G339" t="s">
        <v>565</v>
      </c>
      <c r="H339" t="s">
        <v>577</v>
      </c>
      <c r="I339" t="s">
        <v>578</v>
      </c>
      <c r="J339" t="s">
        <v>579</v>
      </c>
      <c r="L339" s="125">
        <v>44562</v>
      </c>
      <c r="M339" s="125">
        <v>44926</v>
      </c>
      <c r="N339" s="126">
        <f t="shared" si="14"/>
        <v>44926</v>
      </c>
      <c r="Q339" t="s">
        <v>566</v>
      </c>
      <c r="R339" t="s">
        <v>567</v>
      </c>
      <c r="S339" t="s">
        <v>667</v>
      </c>
      <c r="T339" t="s">
        <v>568</v>
      </c>
    </row>
    <row r="340" spans="1:20" ht="15.75" hidden="1" outlineLevel="1" x14ac:dyDescent="0.25">
      <c r="A340">
        <f t="shared" si="13"/>
        <v>291</v>
      </c>
      <c r="B340" t="s">
        <v>560</v>
      </c>
      <c r="C340" t="s">
        <v>561</v>
      </c>
      <c r="D340" s="47" t="s">
        <v>668</v>
      </c>
      <c r="E340" s="127" t="s">
        <v>606</v>
      </c>
      <c r="F340" t="s">
        <v>576</v>
      </c>
      <c r="G340" t="s">
        <v>565</v>
      </c>
      <c r="H340" t="s">
        <v>577</v>
      </c>
      <c r="I340" t="s">
        <v>578</v>
      </c>
      <c r="J340" t="s">
        <v>579</v>
      </c>
      <c r="L340" s="125">
        <v>44562</v>
      </c>
      <c r="M340" s="125">
        <v>44926</v>
      </c>
      <c r="N340" s="126">
        <f t="shared" si="14"/>
        <v>44926</v>
      </c>
      <c r="Q340" t="s">
        <v>566</v>
      </c>
      <c r="R340" t="s">
        <v>567</v>
      </c>
      <c r="S340" t="s">
        <v>667</v>
      </c>
      <c r="T340" t="s">
        <v>568</v>
      </c>
    </row>
    <row r="341" spans="1:20" ht="15.75" hidden="1" outlineLevel="1" x14ac:dyDescent="0.25">
      <c r="A341">
        <f t="shared" si="13"/>
        <v>292</v>
      </c>
      <c r="B341" t="s">
        <v>560</v>
      </c>
      <c r="C341" t="s">
        <v>561</v>
      </c>
      <c r="D341" s="47" t="s">
        <v>668</v>
      </c>
      <c r="E341" s="127" t="s">
        <v>607</v>
      </c>
      <c r="F341" t="s">
        <v>576</v>
      </c>
      <c r="G341" t="s">
        <v>565</v>
      </c>
      <c r="H341" t="s">
        <v>577</v>
      </c>
      <c r="I341" t="s">
        <v>578</v>
      </c>
      <c r="J341" t="s">
        <v>579</v>
      </c>
      <c r="L341" s="125">
        <v>44562</v>
      </c>
      <c r="M341" s="125">
        <v>44926</v>
      </c>
      <c r="N341" s="126">
        <f t="shared" si="14"/>
        <v>44926</v>
      </c>
      <c r="Q341" t="s">
        <v>566</v>
      </c>
      <c r="R341" t="s">
        <v>567</v>
      </c>
      <c r="S341" t="s">
        <v>667</v>
      </c>
      <c r="T341" t="s">
        <v>568</v>
      </c>
    </row>
    <row r="342" spans="1:20" ht="15.75" hidden="1" outlineLevel="1" x14ac:dyDescent="0.25">
      <c r="A342">
        <f t="shared" si="13"/>
        <v>293</v>
      </c>
      <c r="B342" t="s">
        <v>560</v>
      </c>
      <c r="C342" t="s">
        <v>561</v>
      </c>
      <c r="D342" s="47" t="s">
        <v>668</v>
      </c>
      <c r="E342" s="127" t="s">
        <v>608</v>
      </c>
      <c r="F342" t="s">
        <v>576</v>
      </c>
      <c r="G342" t="s">
        <v>565</v>
      </c>
      <c r="H342" t="s">
        <v>577</v>
      </c>
      <c r="I342" t="s">
        <v>578</v>
      </c>
      <c r="J342" t="s">
        <v>579</v>
      </c>
      <c r="L342" s="125">
        <v>44562</v>
      </c>
      <c r="M342" s="125">
        <v>44926</v>
      </c>
      <c r="N342" s="126">
        <f t="shared" si="14"/>
        <v>44926</v>
      </c>
      <c r="Q342" t="s">
        <v>566</v>
      </c>
      <c r="R342" t="s">
        <v>567</v>
      </c>
      <c r="S342" t="s">
        <v>667</v>
      </c>
      <c r="T342" t="s">
        <v>568</v>
      </c>
    </row>
    <row r="343" spans="1:20" ht="15.75" hidden="1" outlineLevel="1" x14ac:dyDescent="0.25">
      <c r="A343">
        <f t="shared" si="13"/>
        <v>294</v>
      </c>
      <c r="B343" t="s">
        <v>560</v>
      </c>
      <c r="C343" t="s">
        <v>561</v>
      </c>
      <c r="D343" s="47" t="s">
        <v>668</v>
      </c>
      <c r="E343" s="127" t="s">
        <v>609</v>
      </c>
      <c r="F343" t="s">
        <v>576</v>
      </c>
      <c r="G343" t="s">
        <v>565</v>
      </c>
      <c r="H343" t="s">
        <v>577</v>
      </c>
      <c r="I343" t="s">
        <v>578</v>
      </c>
      <c r="J343" t="s">
        <v>579</v>
      </c>
      <c r="L343" s="125">
        <v>44562</v>
      </c>
      <c r="M343" s="125">
        <v>44926</v>
      </c>
      <c r="N343" s="126">
        <f t="shared" si="14"/>
        <v>44926</v>
      </c>
      <c r="Q343" t="s">
        <v>566</v>
      </c>
      <c r="R343" t="s">
        <v>567</v>
      </c>
      <c r="S343" t="s">
        <v>667</v>
      </c>
      <c r="T343" t="s">
        <v>568</v>
      </c>
    </row>
    <row r="344" spans="1:20" ht="15.75" hidden="1" outlineLevel="1" x14ac:dyDescent="0.25">
      <c r="A344">
        <f t="shared" si="13"/>
        <v>295</v>
      </c>
      <c r="B344" t="s">
        <v>560</v>
      </c>
      <c r="C344" t="s">
        <v>561</v>
      </c>
      <c r="D344" s="47" t="s">
        <v>668</v>
      </c>
      <c r="E344" s="127" t="s">
        <v>610</v>
      </c>
      <c r="F344" t="s">
        <v>576</v>
      </c>
      <c r="G344" t="s">
        <v>565</v>
      </c>
      <c r="H344" t="s">
        <v>577</v>
      </c>
      <c r="I344" t="s">
        <v>578</v>
      </c>
      <c r="J344" t="s">
        <v>579</v>
      </c>
      <c r="L344" s="125">
        <v>44562</v>
      </c>
      <c r="M344" s="125">
        <v>44926</v>
      </c>
      <c r="N344" s="126">
        <f t="shared" si="14"/>
        <v>44926</v>
      </c>
      <c r="Q344" t="s">
        <v>566</v>
      </c>
      <c r="R344" t="s">
        <v>567</v>
      </c>
      <c r="S344" t="s">
        <v>667</v>
      </c>
      <c r="T344" t="s">
        <v>568</v>
      </c>
    </row>
    <row r="345" spans="1:20" ht="15.75" hidden="1" outlineLevel="1" x14ac:dyDescent="0.25">
      <c r="A345">
        <f t="shared" si="13"/>
        <v>296</v>
      </c>
      <c r="B345" t="s">
        <v>560</v>
      </c>
      <c r="C345" t="s">
        <v>561</v>
      </c>
      <c r="D345" s="47" t="s">
        <v>668</v>
      </c>
      <c r="E345" s="127" t="s">
        <v>611</v>
      </c>
      <c r="F345" t="s">
        <v>576</v>
      </c>
      <c r="G345" t="s">
        <v>565</v>
      </c>
      <c r="H345" t="s">
        <v>577</v>
      </c>
      <c r="I345" t="s">
        <v>578</v>
      </c>
      <c r="J345" t="s">
        <v>579</v>
      </c>
      <c r="L345" s="125">
        <v>44562</v>
      </c>
      <c r="M345" s="125">
        <v>44926</v>
      </c>
      <c r="N345" s="126">
        <f t="shared" si="14"/>
        <v>44926</v>
      </c>
      <c r="Q345" t="s">
        <v>566</v>
      </c>
      <c r="R345" t="s">
        <v>567</v>
      </c>
      <c r="S345" t="s">
        <v>667</v>
      </c>
      <c r="T345" t="s">
        <v>568</v>
      </c>
    </row>
    <row r="346" spans="1:20" ht="15.75" hidden="1" outlineLevel="1" x14ac:dyDescent="0.25">
      <c r="A346">
        <f t="shared" si="13"/>
        <v>297</v>
      </c>
      <c r="B346" t="s">
        <v>560</v>
      </c>
      <c r="C346" t="s">
        <v>561</v>
      </c>
      <c r="D346" s="47" t="s">
        <v>668</v>
      </c>
      <c r="E346" s="127" t="s">
        <v>612</v>
      </c>
      <c r="F346" t="s">
        <v>576</v>
      </c>
      <c r="G346" t="s">
        <v>565</v>
      </c>
      <c r="H346" t="s">
        <v>577</v>
      </c>
      <c r="I346" t="s">
        <v>578</v>
      </c>
      <c r="J346" t="s">
        <v>579</v>
      </c>
      <c r="L346" s="125">
        <v>44562</v>
      </c>
      <c r="M346" s="125">
        <v>44926</v>
      </c>
      <c r="N346" s="126">
        <f t="shared" si="14"/>
        <v>44926</v>
      </c>
      <c r="Q346" t="s">
        <v>566</v>
      </c>
      <c r="R346" t="s">
        <v>567</v>
      </c>
      <c r="S346" t="s">
        <v>667</v>
      </c>
      <c r="T346" t="s">
        <v>568</v>
      </c>
    </row>
    <row r="347" spans="1:20" ht="15.75" hidden="1" outlineLevel="1" x14ac:dyDescent="0.25">
      <c r="A347">
        <f t="shared" si="13"/>
        <v>298</v>
      </c>
      <c r="B347" t="s">
        <v>560</v>
      </c>
      <c r="C347" t="s">
        <v>561</v>
      </c>
      <c r="D347" s="47" t="s">
        <v>668</v>
      </c>
      <c r="E347" s="127" t="s">
        <v>613</v>
      </c>
      <c r="F347" t="s">
        <v>576</v>
      </c>
      <c r="G347" t="s">
        <v>565</v>
      </c>
      <c r="H347" t="s">
        <v>577</v>
      </c>
      <c r="I347" t="s">
        <v>578</v>
      </c>
      <c r="J347" t="s">
        <v>579</v>
      </c>
      <c r="L347" s="125">
        <v>44562</v>
      </c>
      <c r="M347" s="125">
        <v>44926</v>
      </c>
      <c r="N347" s="126">
        <f t="shared" si="14"/>
        <v>44926</v>
      </c>
      <c r="Q347" t="s">
        <v>566</v>
      </c>
      <c r="R347" t="s">
        <v>567</v>
      </c>
      <c r="S347" t="s">
        <v>667</v>
      </c>
      <c r="T347" t="s">
        <v>568</v>
      </c>
    </row>
    <row r="348" spans="1:20" ht="15.75" hidden="1" outlineLevel="1" x14ac:dyDescent="0.25">
      <c r="A348">
        <f t="shared" si="13"/>
        <v>299</v>
      </c>
      <c r="B348" t="s">
        <v>560</v>
      </c>
      <c r="C348" t="s">
        <v>561</v>
      </c>
      <c r="D348" s="47" t="s">
        <v>668</v>
      </c>
      <c r="E348" s="127" t="s">
        <v>614</v>
      </c>
      <c r="F348" t="s">
        <v>576</v>
      </c>
      <c r="G348" t="s">
        <v>565</v>
      </c>
      <c r="H348" t="s">
        <v>577</v>
      </c>
      <c r="I348" t="s">
        <v>578</v>
      </c>
      <c r="J348" t="s">
        <v>579</v>
      </c>
      <c r="L348" s="125">
        <v>44562</v>
      </c>
      <c r="M348" s="125">
        <v>44926</v>
      </c>
      <c r="N348" s="126">
        <f t="shared" si="14"/>
        <v>44926</v>
      </c>
      <c r="Q348" t="s">
        <v>566</v>
      </c>
      <c r="R348" t="s">
        <v>567</v>
      </c>
      <c r="S348" t="s">
        <v>667</v>
      </c>
      <c r="T348" t="s">
        <v>568</v>
      </c>
    </row>
    <row r="349" spans="1:20" ht="15.75" hidden="1" outlineLevel="1" x14ac:dyDescent="0.25">
      <c r="A349">
        <f t="shared" si="13"/>
        <v>300</v>
      </c>
      <c r="B349" t="s">
        <v>560</v>
      </c>
      <c r="C349" t="s">
        <v>561</v>
      </c>
      <c r="D349" s="47" t="s">
        <v>668</v>
      </c>
      <c r="E349" s="127" t="s">
        <v>615</v>
      </c>
      <c r="F349" t="s">
        <v>576</v>
      </c>
      <c r="G349" t="s">
        <v>565</v>
      </c>
      <c r="H349" t="s">
        <v>577</v>
      </c>
      <c r="I349" t="s">
        <v>578</v>
      </c>
      <c r="J349" t="s">
        <v>579</v>
      </c>
      <c r="L349" s="125">
        <v>44562</v>
      </c>
      <c r="M349" s="125">
        <v>44926</v>
      </c>
      <c r="N349" s="126">
        <f t="shared" si="14"/>
        <v>44926</v>
      </c>
      <c r="Q349" t="s">
        <v>566</v>
      </c>
      <c r="R349" t="s">
        <v>567</v>
      </c>
      <c r="S349" t="s">
        <v>667</v>
      </c>
      <c r="T349" t="s">
        <v>568</v>
      </c>
    </row>
    <row r="350" spans="1:20" ht="15.75" hidden="1" outlineLevel="1" x14ac:dyDescent="0.25">
      <c r="A350">
        <f t="shared" si="13"/>
        <v>301</v>
      </c>
      <c r="B350" t="s">
        <v>560</v>
      </c>
      <c r="C350" t="s">
        <v>561</v>
      </c>
      <c r="D350" s="47" t="s">
        <v>668</v>
      </c>
      <c r="E350" s="127" t="s">
        <v>616</v>
      </c>
      <c r="F350" t="s">
        <v>576</v>
      </c>
      <c r="G350" t="s">
        <v>565</v>
      </c>
      <c r="H350" t="s">
        <v>577</v>
      </c>
      <c r="I350" t="s">
        <v>578</v>
      </c>
      <c r="J350" t="s">
        <v>579</v>
      </c>
      <c r="L350" s="125">
        <v>44562</v>
      </c>
      <c r="M350" s="125">
        <v>44926</v>
      </c>
      <c r="N350" s="126">
        <f t="shared" si="14"/>
        <v>44926</v>
      </c>
      <c r="Q350" t="s">
        <v>566</v>
      </c>
      <c r="R350" t="s">
        <v>567</v>
      </c>
      <c r="S350" t="s">
        <v>667</v>
      </c>
      <c r="T350" t="s">
        <v>568</v>
      </c>
    </row>
    <row r="351" spans="1:20" ht="15.75" hidden="1" outlineLevel="1" x14ac:dyDescent="0.25">
      <c r="A351">
        <f t="shared" si="13"/>
        <v>302</v>
      </c>
      <c r="B351" t="s">
        <v>560</v>
      </c>
      <c r="C351" t="s">
        <v>561</v>
      </c>
      <c r="D351" s="47" t="s">
        <v>668</v>
      </c>
      <c r="E351" s="127" t="s">
        <v>617</v>
      </c>
      <c r="F351" t="s">
        <v>576</v>
      </c>
      <c r="G351" t="s">
        <v>565</v>
      </c>
      <c r="H351" t="s">
        <v>577</v>
      </c>
      <c r="I351" t="s">
        <v>578</v>
      </c>
      <c r="J351" t="s">
        <v>579</v>
      </c>
      <c r="L351" s="125">
        <v>44562</v>
      </c>
      <c r="M351" s="125">
        <v>44926</v>
      </c>
      <c r="N351" s="126">
        <f t="shared" si="14"/>
        <v>44926</v>
      </c>
      <c r="Q351" t="s">
        <v>566</v>
      </c>
      <c r="R351" t="s">
        <v>567</v>
      </c>
      <c r="S351" t="s">
        <v>667</v>
      </c>
      <c r="T351" t="s">
        <v>568</v>
      </c>
    </row>
    <row r="352" spans="1:20" ht="15.75" hidden="1" outlineLevel="1" x14ac:dyDescent="0.25">
      <c r="A352">
        <f t="shared" si="13"/>
        <v>303</v>
      </c>
      <c r="B352" t="s">
        <v>560</v>
      </c>
      <c r="C352" t="s">
        <v>561</v>
      </c>
      <c r="D352" s="47" t="s">
        <v>668</v>
      </c>
      <c r="E352" s="127" t="s">
        <v>618</v>
      </c>
      <c r="F352" t="s">
        <v>576</v>
      </c>
      <c r="G352" t="s">
        <v>565</v>
      </c>
      <c r="H352" t="s">
        <v>577</v>
      </c>
      <c r="I352" t="s">
        <v>578</v>
      </c>
      <c r="J352" t="s">
        <v>579</v>
      </c>
      <c r="L352" s="125">
        <v>44562</v>
      </c>
      <c r="M352" s="125">
        <v>44926</v>
      </c>
      <c r="N352" s="126">
        <f t="shared" si="14"/>
        <v>44926</v>
      </c>
      <c r="Q352" t="s">
        <v>566</v>
      </c>
      <c r="R352" t="s">
        <v>567</v>
      </c>
      <c r="S352" t="s">
        <v>667</v>
      </c>
      <c r="T352" t="s">
        <v>568</v>
      </c>
    </row>
    <row r="353" spans="1:20" ht="15.75" hidden="1" outlineLevel="1" x14ac:dyDescent="0.25">
      <c r="A353">
        <f t="shared" si="13"/>
        <v>304</v>
      </c>
      <c r="B353" t="s">
        <v>560</v>
      </c>
      <c r="C353" t="s">
        <v>561</v>
      </c>
      <c r="D353" s="47" t="s">
        <v>668</v>
      </c>
      <c r="E353" s="127" t="s">
        <v>619</v>
      </c>
      <c r="F353" t="s">
        <v>576</v>
      </c>
      <c r="G353" t="s">
        <v>565</v>
      </c>
      <c r="H353" t="s">
        <v>577</v>
      </c>
      <c r="I353" t="s">
        <v>578</v>
      </c>
      <c r="J353" t="s">
        <v>579</v>
      </c>
      <c r="L353" s="125">
        <v>44562</v>
      </c>
      <c r="M353" s="125">
        <v>44926</v>
      </c>
      <c r="N353" s="126">
        <f t="shared" si="14"/>
        <v>44926</v>
      </c>
      <c r="Q353" t="s">
        <v>566</v>
      </c>
      <c r="R353" t="s">
        <v>567</v>
      </c>
      <c r="S353" t="s">
        <v>667</v>
      </c>
      <c r="T353" t="s">
        <v>568</v>
      </c>
    </row>
    <row r="354" spans="1:20" ht="15.75" hidden="1" outlineLevel="1" x14ac:dyDescent="0.25">
      <c r="A354">
        <f t="shared" si="13"/>
        <v>305</v>
      </c>
      <c r="B354" t="s">
        <v>560</v>
      </c>
      <c r="C354" t="s">
        <v>561</v>
      </c>
      <c r="D354" s="47" t="s">
        <v>668</v>
      </c>
      <c r="E354" s="127" t="s">
        <v>620</v>
      </c>
      <c r="F354" t="s">
        <v>576</v>
      </c>
      <c r="G354" t="s">
        <v>565</v>
      </c>
      <c r="H354" t="s">
        <v>577</v>
      </c>
      <c r="I354" t="s">
        <v>578</v>
      </c>
      <c r="J354" t="s">
        <v>579</v>
      </c>
      <c r="L354" s="125">
        <v>44562</v>
      </c>
      <c r="M354" s="125">
        <v>44926</v>
      </c>
      <c r="N354" s="126">
        <f t="shared" si="14"/>
        <v>44926</v>
      </c>
      <c r="Q354" t="s">
        <v>566</v>
      </c>
      <c r="R354" t="s">
        <v>567</v>
      </c>
      <c r="S354" t="s">
        <v>667</v>
      </c>
      <c r="T354" t="s">
        <v>568</v>
      </c>
    </row>
    <row r="355" spans="1:20" ht="15.75" hidden="1" outlineLevel="1" x14ac:dyDescent="0.25">
      <c r="A355">
        <f t="shared" si="13"/>
        <v>306</v>
      </c>
      <c r="B355" t="s">
        <v>560</v>
      </c>
      <c r="C355" t="s">
        <v>561</v>
      </c>
      <c r="D355" s="47" t="s">
        <v>668</v>
      </c>
      <c r="E355" s="127" t="s">
        <v>621</v>
      </c>
      <c r="F355" t="s">
        <v>576</v>
      </c>
      <c r="G355" t="s">
        <v>565</v>
      </c>
      <c r="H355" t="s">
        <v>577</v>
      </c>
      <c r="I355" t="s">
        <v>578</v>
      </c>
      <c r="J355" t="s">
        <v>579</v>
      </c>
      <c r="L355" s="125">
        <v>44562</v>
      </c>
      <c r="M355" s="125">
        <v>44926</v>
      </c>
      <c r="N355" s="126">
        <f t="shared" si="14"/>
        <v>44926</v>
      </c>
      <c r="Q355" t="s">
        <v>566</v>
      </c>
      <c r="R355" t="s">
        <v>567</v>
      </c>
      <c r="S355" t="s">
        <v>667</v>
      </c>
      <c r="T355" t="s">
        <v>568</v>
      </c>
    </row>
    <row r="356" spans="1:20" ht="15.75" hidden="1" outlineLevel="1" x14ac:dyDescent="0.25">
      <c r="A356">
        <f t="shared" si="13"/>
        <v>307</v>
      </c>
      <c r="B356" t="s">
        <v>560</v>
      </c>
      <c r="C356" t="s">
        <v>561</v>
      </c>
      <c r="D356" s="47" t="s">
        <v>668</v>
      </c>
      <c r="E356" s="127" t="s">
        <v>622</v>
      </c>
      <c r="F356" t="s">
        <v>576</v>
      </c>
      <c r="G356" t="s">
        <v>565</v>
      </c>
      <c r="H356" t="s">
        <v>577</v>
      </c>
      <c r="I356" t="s">
        <v>578</v>
      </c>
      <c r="J356" t="s">
        <v>579</v>
      </c>
      <c r="L356" s="125">
        <v>44562</v>
      </c>
      <c r="M356" s="125">
        <v>44926</v>
      </c>
      <c r="N356" s="126">
        <f t="shared" si="14"/>
        <v>44926</v>
      </c>
      <c r="Q356" t="s">
        <v>566</v>
      </c>
      <c r="R356" t="s">
        <v>567</v>
      </c>
      <c r="S356" t="s">
        <v>667</v>
      </c>
      <c r="T356" t="s">
        <v>568</v>
      </c>
    </row>
    <row r="357" spans="1:20" ht="15.75" hidden="1" outlineLevel="1" x14ac:dyDescent="0.25">
      <c r="A357">
        <f t="shared" si="13"/>
        <v>308</v>
      </c>
      <c r="B357" t="s">
        <v>560</v>
      </c>
      <c r="C357" t="s">
        <v>561</v>
      </c>
      <c r="D357" s="47" t="s">
        <v>668</v>
      </c>
      <c r="E357" s="127" t="s">
        <v>623</v>
      </c>
      <c r="F357" t="s">
        <v>576</v>
      </c>
      <c r="G357" t="s">
        <v>565</v>
      </c>
      <c r="H357" t="s">
        <v>577</v>
      </c>
      <c r="I357" t="s">
        <v>578</v>
      </c>
      <c r="J357" t="s">
        <v>579</v>
      </c>
      <c r="L357" s="125">
        <v>44562</v>
      </c>
      <c r="M357" s="125">
        <v>44926</v>
      </c>
      <c r="N357" s="126">
        <f t="shared" si="14"/>
        <v>44926</v>
      </c>
      <c r="Q357" t="s">
        <v>566</v>
      </c>
      <c r="R357" t="s">
        <v>567</v>
      </c>
      <c r="S357" t="s">
        <v>667</v>
      </c>
      <c r="T357" t="s">
        <v>568</v>
      </c>
    </row>
    <row r="358" spans="1:20" ht="15.75" hidden="1" outlineLevel="1" x14ac:dyDescent="0.25">
      <c r="A358">
        <f t="shared" si="13"/>
        <v>309</v>
      </c>
      <c r="B358" t="s">
        <v>560</v>
      </c>
      <c r="C358" t="s">
        <v>561</v>
      </c>
      <c r="D358" s="47" t="s">
        <v>668</v>
      </c>
      <c r="E358" s="127" t="s">
        <v>624</v>
      </c>
      <c r="F358" t="s">
        <v>576</v>
      </c>
      <c r="G358" t="s">
        <v>565</v>
      </c>
      <c r="H358" t="s">
        <v>577</v>
      </c>
      <c r="I358" t="s">
        <v>578</v>
      </c>
      <c r="J358" t="s">
        <v>579</v>
      </c>
      <c r="L358" s="125">
        <v>44562</v>
      </c>
      <c r="M358" s="125">
        <v>44926</v>
      </c>
      <c r="N358" s="126">
        <f t="shared" si="14"/>
        <v>44926</v>
      </c>
      <c r="Q358" t="s">
        <v>566</v>
      </c>
      <c r="R358" t="s">
        <v>567</v>
      </c>
      <c r="S358" t="s">
        <v>667</v>
      </c>
      <c r="T358" t="s">
        <v>568</v>
      </c>
    </row>
    <row r="359" spans="1:20" ht="15.75" hidden="1" outlineLevel="1" x14ac:dyDescent="0.25">
      <c r="A359">
        <f t="shared" si="13"/>
        <v>310</v>
      </c>
      <c r="B359" t="s">
        <v>560</v>
      </c>
      <c r="C359" t="s">
        <v>561</v>
      </c>
      <c r="D359" s="47" t="s">
        <v>668</v>
      </c>
      <c r="E359" s="127" t="s">
        <v>625</v>
      </c>
      <c r="F359" t="s">
        <v>576</v>
      </c>
      <c r="G359" t="s">
        <v>565</v>
      </c>
      <c r="H359" t="s">
        <v>577</v>
      </c>
      <c r="I359" t="s">
        <v>578</v>
      </c>
      <c r="J359" t="s">
        <v>579</v>
      </c>
      <c r="L359" s="125">
        <v>44562</v>
      </c>
      <c r="M359" s="125">
        <v>44926</v>
      </c>
      <c r="N359" s="126">
        <f t="shared" si="14"/>
        <v>44926</v>
      </c>
      <c r="Q359" t="s">
        <v>566</v>
      </c>
      <c r="R359" t="s">
        <v>567</v>
      </c>
      <c r="S359" t="s">
        <v>667</v>
      </c>
      <c r="T359" t="s">
        <v>568</v>
      </c>
    </row>
    <row r="360" spans="1:20" ht="15.75" hidden="1" outlineLevel="1" x14ac:dyDescent="0.25">
      <c r="A360">
        <f t="shared" si="13"/>
        <v>311</v>
      </c>
      <c r="B360" t="s">
        <v>560</v>
      </c>
      <c r="C360" t="s">
        <v>561</v>
      </c>
      <c r="D360" s="47" t="s">
        <v>668</v>
      </c>
      <c r="E360" s="127" t="s">
        <v>626</v>
      </c>
      <c r="F360" t="s">
        <v>576</v>
      </c>
      <c r="G360" t="s">
        <v>565</v>
      </c>
      <c r="H360" t="s">
        <v>577</v>
      </c>
      <c r="I360" t="s">
        <v>578</v>
      </c>
      <c r="J360" t="s">
        <v>579</v>
      </c>
      <c r="L360" s="125">
        <v>44562</v>
      </c>
      <c r="M360" s="125">
        <v>44926</v>
      </c>
      <c r="N360" s="126">
        <f t="shared" si="14"/>
        <v>44926</v>
      </c>
      <c r="Q360" t="s">
        <v>566</v>
      </c>
      <c r="R360" t="s">
        <v>567</v>
      </c>
      <c r="S360" t="s">
        <v>667</v>
      </c>
      <c r="T360" t="s">
        <v>568</v>
      </c>
    </row>
    <row r="361" spans="1:20" ht="15.75" hidden="1" outlineLevel="1" x14ac:dyDescent="0.25">
      <c r="A361">
        <f t="shared" si="13"/>
        <v>312</v>
      </c>
      <c r="B361" t="s">
        <v>560</v>
      </c>
      <c r="C361" t="s">
        <v>561</v>
      </c>
      <c r="D361" s="47" t="s">
        <v>668</v>
      </c>
      <c r="E361" s="127" t="s">
        <v>627</v>
      </c>
      <c r="F361" t="s">
        <v>576</v>
      </c>
      <c r="G361" t="s">
        <v>565</v>
      </c>
      <c r="H361" t="s">
        <v>577</v>
      </c>
      <c r="I361" t="s">
        <v>578</v>
      </c>
      <c r="J361" t="s">
        <v>579</v>
      </c>
      <c r="L361" s="125">
        <v>44562</v>
      </c>
      <c r="M361" s="125">
        <v>44926</v>
      </c>
      <c r="N361" s="126">
        <f t="shared" si="14"/>
        <v>44926</v>
      </c>
      <c r="Q361" t="s">
        <v>566</v>
      </c>
      <c r="R361" t="s">
        <v>567</v>
      </c>
      <c r="S361" t="s">
        <v>667</v>
      </c>
      <c r="T361" t="s">
        <v>568</v>
      </c>
    </row>
    <row r="362" spans="1:20" ht="15.75" hidden="1" outlineLevel="1" x14ac:dyDescent="0.25">
      <c r="A362">
        <f t="shared" si="13"/>
        <v>313</v>
      </c>
      <c r="B362" t="s">
        <v>560</v>
      </c>
      <c r="C362" t="s">
        <v>561</v>
      </c>
      <c r="D362" s="47" t="s">
        <v>668</v>
      </c>
      <c r="E362" s="127" t="s">
        <v>628</v>
      </c>
      <c r="F362" t="s">
        <v>576</v>
      </c>
      <c r="G362" t="s">
        <v>565</v>
      </c>
      <c r="H362" t="s">
        <v>577</v>
      </c>
      <c r="I362" t="s">
        <v>578</v>
      </c>
      <c r="J362" t="s">
        <v>579</v>
      </c>
      <c r="L362" s="125">
        <v>44562</v>
      </c>
      <c r="M362" s="125">
        <v>44926</v>
      </c>
      <c r="N362" s="126">
        <f t="shared" si="14"/>
        <v>44926</v>
      </c>
      <c r="Q362" t="s">
        <v>566</v>
      </c>
      <c r="R362" t="s">
        <v>567</v>
      </c>
      <c r="S362" t="s">
        <v>667</v>
      </c>
      <c r="T362" t="s">
        <v>568</v>
      </c>
    </row>
    <row r="363" spans="1:20" ht="15.75" hidden="1" outlineLevel="1" x14ac:dyDescent="0.25">
      <c r="A363">
        <f t="shared" si="13"/>
        <v>314</v>
      </c>
      <c r="B363" t="s">
        <v>560</v>
      </c>
      <c r="C363" t="s">
        <v>561</v>
      </c>
      <c r="D363" s="47" t="s">
        <v>668</v>
      </c>
      <c r="E363" s="127" t="s">
        <v>629</v>
      </c>
      <c r="F363" t="s">
        <v>576</v>
      </c>
      <c r="G363" t="s">
        <v>565</v>
      </c>
      <c r="H363" t="s">
        <v>577</v>
      </c>
      <c r="I363" t="s">
        <v>578</v>
      </c>
      <c r="J363" t="s">
        <v>579</v>
      </c>
      <c r="L363" s="125">
        <v>44562</v>
      </c>
      <c r="M363" s="125">
        <v>44926</v>
      </c>
      <c r="N363" s="126">
        <f t="shared" si="14"/>
        <v>44926</v>
      </c>
      <c r="Q363" t="s">
        <v>566</v>
      </c>
      <c r="R363" t="s">
        <v>567</v>
      </c>
      <c r="S363" t="s">
        <v>667</v>
      </c>
      <c r="T363" t="s">
        <v>568</v>
      </c>
    </row>
    <row r="364" spans="1:20" ht="15.75" hidden="1" outlineLevel="1" x14ac:dyDescent="0.25">
      <c r="A364">
        <f t="shared" si="13"/>
        <v>315</v>
      </c>
      <c r="B364" t="s">
        <v>560</v>
      </c>
      <c r="C364" t="s">
        <v>561</v>
      </c>
      <c r="D364" s="47" t="s">
        <v>668</v>
      </c>
      <c r="E364" s="127" t="s">
        <v>630</v>
      </c>
      <c r="F364" t="s">
        <v>576</v>
      </c>
      <c r="G364" t="s">
        <v>565</v>
      </c>
      <c r="H364" t="s">
        <v>577</v>
      </c>
      <c r="I364" t="s">
        <v>578</v>
      </c>
      <c r="J364" t="s">
        <v>579</v>
      </c>
      <c r="L364" s="125">
        <v>44562</v>
      </c>
      <c r="M364" s="125">
        <v>44926</v>
      </c>
      <c r="N364" s="126">
        <f t="shared" si="14"/>
        <v>44926</v>
      </c>
      <c r="Q364" t="s">
        <v>566</v>
      </c>
      <c r="R364" t="s">
        <v>567</v>
      </c>
      <c r="S364" t="s">
        <v>667</v>
      </c>
      <c r="T364" t="s">
        <v>568</v>
      </c>
    </row>
    <row r="365" spans="1:20" ht="15.75" hidden="1" outlineLevel="1" x14ac:dyDescent="0.25">
      <c r="A365">
        <f t="shared" si="13"/>
        <v>316</v>
      </c>
      <c r="B365" t="s">
        <v>560</v>
      </c>
      <c r="C365" t="s">
        <v>561</v>
      </c>
      <c r="D365" s="47" t="s">
        <v>668</v>
      </c>
      <c r="E365" s="127" t="s">
        <v>631</v>
      </c>
      <c r="F365" t="s">
        <v>576</v>
      </c>
      <c r="G365" t="s">
        <v>565</v>
      </c>
      <c r="H365" t="s">
        <v>577</v>
      </c>
      <c r="I365" t="s">
        <v>578</v>
      </c>
      <c r="J365" t="s">
        <v>579</v>
      </c>
      <c r="L365" s="125">
        <v>44562</v>
      </c>
      <c r="M365" s="125">
        <v>44926</v>
      </c>
      <c r="N365" s="126">
        <f t="shared" si="14"/>
        <v>44926</v>
      </c>
      <c r="Q365" t="s">
        <v>566</v>
      </c>
      <c r="R365" t="s">
        <v>567</v>
      </c>
      <c r="S365" t="s">
        <v>667</v>
      </c>
      <c r="T365" t="s">
        <v>568</v>
      </c>
    </row>
    <row r="366" spans="1:20" ht="15.75" hidden="1" outlineLevel="1" x14ac:dyDescent="0.25">
      <c r="A366">
        <f t="shared" si="13"/>
        <v>317</v>
      </c>
      <c r="B366" t="s">
        <v>560</v>
      </c>
      <c r="C366" t="s">
        <v>561</v>
      </c>
      <c r="D366" s="47" t="s">
        <v>668</v>
      </c>
      <c r="E366" s="127" t="s">
        <v>632</v>
      </c>
      <c r="F366" t="s">
        <v>576</v>
      </c>
      <c r="G366" t="s">
        <v>565</v>
      </c>
      <c r="H366" t="s">
        <v>577</v>
      </c>
      <c r="I366" t="s">
        <v>578</v>
      </c>
      <c r="J366" t="s">
        <v>579</v>
      </c>
      <c r="L366" s="125">
        <v>44562</v>
      </c>
      <c r="M366" s="125">
        <v>44926</v>
      </c>
      <c r="N366" s="126">
        <f t="shared" si="14"/>
        <v>44926</v>
      </c>
      <c r="Q366" t="s">
        <v>566</v>
      </c>
      <c r="R366" t="s">
        <v>567</v>
      </c>
      <c r="S366" t="s">
        <v>667</v>
      </c>
      <c r="T366" t="s">
        <v>568</v>
      </c>
    </row>
    <row r="367" spans="1:20" ht="15.75" hidden="1" outlineLevel="1" x14ac:dyDescent="0.25">
      <c r="A367">
        <f t="shared" si="13"/>
        <v>318</v>
      </c>
      <c r="B367" t="s">
        <v>560</v>
      </c>
      <c r="C367" t="s">
        <v>561</v>
      </c>
      <c r="D367" s="47" t="s">
        <v>668</v>
      </c>
      <c r="E367" s="127" t="s">
        <v>633</v>
      </c>
      <c r="F367" t="s">
        <v>576</v>
      </c>
      <c r="G367" t="s">
        <v>565</v>
      </c>
      <c r="H367" t="s">
        <v>577</v>
      </c>
      <c r="I367" t="s">
        <v>578</v>
      </c>
      <c r="J367" t="s">
        <v>579</v>
      </c>
      <c r="L367" s="125">
        <v>44562</v>
      </c>
      <c r="M367" s="125">
        <v>44926</v>
      </c>
      <c r="N367" s="126">
        <f t="shared" si="14"/>
        <v>44926</v>
      </c>
      <c r="Q367" t="s">
        <v>566</v>
      </c>
      <c r="R367" t="s">
        <v>567</v>
      </c>
      <c r="S367" t="s">
        <v>667</v>
      </c>
      <c r="T367" t="s">
        <v>568</v>
      </c>
    </row>
    <row r="368" spans="1:20" ht="15.75" hidden="1" outlineLevel="1" x14ac:dyDescent="0.25">
      <c r="A368">
        <f t="shared" si="13"/>
        <v>319</v>
      </c>
      <c r="B368" t="s">
        <v>560</v>
      </c>
      <c r="C368" t="s">
        <v>561</v>
      </c>
      <c r="D368" s="47" t="s">
        <v>668</v>
      </c>
      <c r="E368" s="127" t="s">
        <v>634</v>
      </c>
      <c r="F368" t="s">
        <v>576</v>
      </c>
      <c r="G368" t="s">
        <v>565</v>
      </c>
      <c r="H368" t="s">
        <v>577</v>
      </c>
      <c r="I368" t="s">
        <v>578</v>
      </c>
      <c r="J368" t="s">
        <v>579</v>
      </c>
      <c r="L368" s="125">
        <v>44562</v>
      </c>
      <c r="M368" s="125">
        <v>44926</v>
      </c>
      <c r="N368" s="126">
        <f t="shared" si="14"/>
        <v>44926</v>
      </c>
      <c r="Q368" t="s">
        <v>566</v>
      </c>
      <c r="R368" t="s">
        <v>567</v>
      </c>
      <c r="S368" t="s">
        <v>667</v>
      </c>
      <c r="T368" t="s">
        <v>568</v>
      </c>
    </row>
    <row r="369" spans="1:20" ht="15.75" hidden="1" outlineLevel="1" x14ac:dyDescent="0.25">
      <c r="A369">
        <f t="shared" si="13"/>
        <v>320</v>
      </c>
      <c r="B369" t="s">
        <v>560</v>
      </c>
      <c r="C369" t="s">
        <v>561</v>
      </c>
      <c r="D369" s="47" t="s">
        <v>668</v>
      </c>
      <c r="E369" s="127" t="s">
        <v>635</v>
      </c>
      <c r="F369" t="s">
        <v>576</v>
      </c>
      <c r="G369" t="s">
        <v>565</v>
      </c>
      <c r="H369" t="s">
        <v>577</v>
      </c>
      <c r="I369" t="s">
        <v>578</v>
      </c>
      <c r="J369" t="s">
        <v>579</v>
      </c>
      <c r="L369" s="125">
        <v>44562</v>
      </c>
      <c r="M369" s="125">
        <v>44926</v>
      </c>
      <c r="N369" s="126">
        <f t="shared" si="14"/>
        <v>44926</v>
      </c>
      <c r="Q369" t="s">
        <v>566</v>
      </c>
      <c r="R369" t="s">
        <v>567</v>
      </c>
      <c r="S369" t="s">
        <v>667</v>
      </c>
      <c r="T369" t="s">
        <v>568</v>
      </c>
    </row>
    <row r="370" spans="1:20" ht="15.75" hidden="1" outlineLevel="1" x14ac:dyDescent="0.25">
      <c r="A370">
        <f t="shared" si="13"/>
        <v>321</v>
      </c>
      <c r="B370" t="s">
        <v>560</v>
      </c>
      <c r="C370" t="s">
        <v>561</v>
      </c>
      <c r="D370" s="47" t="s">
        <v>668</v>
      </c>
      <c r="E370" s="127" t="s">
        <v>636</v>
      </c>
      <c r="F370" t="s">
        <v>576</v>
      </c>
      <c r="G370" t="s">
        <v>565</v>
      </c>
      <c r="H370" t="s">
        <v>577</v>
      </c>
      <c r="I370" t="s">
        <v>578</v>
      </c>
      <c r="J370" t="s">
        <v>579</v>
      </c>
      <c r="L370" s="125">
        <v>44562</v>
      </c>
      <c r="M370" s="125">
        <v>44926</v>
      </c>
      <c r="N370" s="126">
        <f t="shared" si="14"/>
        <v>44926</v>
      </c>
      <c r="Q370" t="s">
        <v>566</v>
      </c>
      <c r="R370" t="s">
        <v>567</v>
      </c>
      <c r="S370" t="s">
        <v>667</v>
      </c>
      <c r="T370" t="s">
        <v>568</v>
      </c>
    </row>
    <row r="371" spans="1:20" ht="15.75" hidden="1" outlineLevel="1" x14ac:dyDescent="0.25">
      <c r="A371">
        <f t="shared" si="13"/>
        <v>322</v>
      </c>
      <c r="B371" t="s">
        <v>560</v>
      </c>
      <c r="C371" t="s">
        <v>561</v>
      </c>
      <c r="D371" s="47" t="s">
        <v>668</v>
      </c>
      <c r="E371" s="127" t="s">
        <v>637</v>
      </c>
      <c r="F371" t="s">
        <v>576</v>
      </c>
      <c r="G371" t="s">
        <v>565</v>
      </c>
      <c r="H371" t="s">
        <v>577</v>
      </c>
      <c r="I371" t="s">
        <v>578</v>
      </c>
      <c r="J371" t="s">
        <v>579</v>
      </c>
      <c r="L371" s="125">
        <v>44562</v>
      </c>
      <c r="M371" s="125">
        <v>44926</v>
      </c>
      <c r="N371" s="126">
        <f t="shared" si="14"/>
        <v>44926</v>
      </c>
      <c r="Q371" t="s">
        <v>566</v>
      </c>
      <c r="R371" t="s">
        <v>567</v>
      </c>
      <c r="S371" t="s">
        <v>667</v>
      </c>
      <c r="T371" t="s">
        <v>568</v>
      </c>
    </row>
    <row r="372" spans="1:20" ht="15.75" hidden="1" outlineLevel="1" x14ac:dyDescent="0.25">
      <c r="A372">
        <f t="shared" ref="A372:A435" si="15">A371+1</f>
        <v>323</v>
      </c>
      <c r="B372" t="s">
        <v>560</v>
      </c>
      <c r="C372" t="s">
        <v>561</v>
      </c>
      <c r="D372" s="47" t="s">
        <v>668</v>
      </c>
      <c r="E372" s="127" t="s">
        <v>638</v>
      </c>
      <c r="F372" t="s">
        <v>576</v>
      </c>
      <c r="G372" t="s">
        <v>565</v>
      </c>
      <c r="H372" t="s">
        <v>577</v>
      </c>
      <c r="I372" t="s">
        <v>578</v>
      </c>
      <c r="J372" t="s">
        <v>579</v>
      </c>
      <c r="L372" s="125">
        <v>44562</v>
      </c>
      <c r="M372" s="125">
        <v>44926</v>
      </c>
      <c r="N372" s="126">
        <f t="shared" ref="N372:N435" si="16">M372</f>
        <v>44926</v>
      </c>
      <c r="Q372" t="s">
        <v>566</v>
      </c>
      <c r="R372" t="s">
        <v>567</v>
      </c>
      <c r="S372" t="s">
        <v>667</v>
      </c>
      <c r="T372" t="s">
        <v>568</v>
      </c>
    </row>
    <row r="373" spans="1:20" ht="15.75" hidden="1" outlineLevel="1" x14ac:dyDescent="0.25">
      <c r="A373">
        <f t="shared" si="15"/>
        <v>324</v>
      </c>
      <c r="B373" t="s">
        <v>560</v>
      </c>
      <c r="C373" t="s">
        <v>561</v>
      </c>
      <c r="D373" s="47" t="s">
        <v>668</v>
      </c>
      <c r="E373" s="127" t="s">
        <v>639</v>
      </c>
      <c r="F373" t="s">
        <v>576</v>
      </c>
      <c r="G373" t="s">
        <v>565</v>
      </c>
      <c r="H373" t="s">
        <v>577</v>
      </c>
      <c r="I373" t="s">
        <v>578</v>
      </c>
      <c r="J373" t="s">
        <v>579</v>
      </c>
      <c r="L373" s="125">
        <v>44562</v>
      </c>
      <c r="M373" s="125">
        <v>44926</v>
      </c>
      <c r="N373" s="126">
        <f t="shared" si="16"/>
        <v>44926</v>
      </c>
      <c r="Q373" t="s">
        <v>566</v>
      </c>
      <c r="R373" t="s">
        <v>567</v>
      </c>
      <c r="S373" t="s">
        <v>667</v>
      </c>
      <c r="T373" t="s">
        <v>568</v>
      </c>
    </row>
    <row r="374" spans="1:20" ht="15.75" hidden="1" outlineLevel="1" x14ac:dyDescent="0.25">
      <c r="A374">
        <f t="shared" si="15"/>
        <v>325</v>
      </c>
      <c r="B374" t="s">
        <v>560</v>
      </c>
      <c r="C374" t="s">
        <v>561</v>
      </c>
      <c r="D374" s="47" t="s">
        <v>668</v>
      </c>
      <c r="E374" s="127" t="s">
        <v>640</v>
      </c>
      <c r="F374" t="s">
        <v>576</v>
      </c>
      <c r="G374" t="s">
        <v>565</v>
      </c>
      <c r="H374" t="s">
        <v>577</v>
      </c>
      <c r="I374" t="s">
        <v>578</v>
      </c>
      <c r="J374" t="s">
        <v>579</v>
      </c>
      <c r="L374" s="125">
        <v>44562</v>
      </c>
      <c r="M374" s="125">
        <v>44926</v>
      </c>
      <c r="N374" s="126">
        <f t="shared" si="16"/>
        <v>44926</v>
      </c>
      <c r="Q374" t="s">
        <v>566</v>
      </c>
      <c r="R374" t="s">
        <v>567</v>
      </c>
      <c r="S374" t="s">
        <v>667</v>
      </c>
      <c r="T374" t="s">
        <v>568</v>
      </c>
    </row>
    <row r="375" spans="1:20" ht="15.75" hidden="1" outlineLevel="1" x14ac:dyDescent="0.25">
      <c r="A375">
        <f t="shared" si="15"/>
        <v>326</v>
      </c>
      <c r="B375" t="s">
        <v>560</v>
      </c>
      <c r="C375" t="s">
        <v>561</v>
      </c>
      <c r="D375" s="47" t="s">
        <v>668</v>
      </c>
      <c r="E375" s="127" t="s">
        <v>641</v>
      </c>
      <c r="F375" t="s">
        <v>576</v>
      </c>
      <c r="G375" t="s">
        <v>565</v>
      </c>
      <c r="H375" t="s">
        <v>577</v>
      </c>
      <c r="I375" t="s">
        <v>578</v>
      </c>
      <c r="J375" t="s">
        <v>579</v>
      </c>
      <c r="L375" s="125">
        <v>44562</v>
      </c>
      <c r="M375" s="125">
        <v>44926</v>
      </c>
      <c r="N375" s="126">
        <f t="shared" si="16"/>
        <v>44926</v>
      </c>
      <c r="Q375" t="s">
        <v>566</v>
      </c>
      <c r="R375" t="s">
        <v>567</v>
      </c>
      <c r="S375" t="s">
        <v>667</v>
      </c>
      <c r="T375" t="s">
        <v>568</v>
      </c>
    </row>
    <row r="376" spans="1:20" ht="15.75" hidden="1" outlineLevel="1" x14ac:dyDescent="0.25">
      <c r="A376">
        <f t="shared" si="15"/>
        <v>327</v>
      </c>
      <c r="B376" t="s">
        <v>560</v>
      </c>
      <c r="C376" t="s">
        <v>561</v>
      </c>
      <c r="D376" s="47" t="s">
        <v>668</v>
      </c>
      <c r="E376" s="127" t="s">
        <v>642</v>
      </c>
      <c r="F376" t="s">
        <v>576</v>
      </c>
      <c r="G376" t="s">
        <v>565</v>
      </c>
      <c r="H376" t="s">
        <v>577</v>
      </c>
      <c r="I376" t="s">
        <v>578</v>
      </c>
      <c r="J376" t="s">
        <v>579</v>
      </c>
      <c r="L376" s="125">
        <v>44562</v>
      </c>
      <c r="M376" s="125">
        <v>44926</v>
      </c>
      <c r="N376" s="126">
        <f t="shared" si="16"/>
        <v>44926</v>
      </c>
      <c r="Q376" t="s">
        <v>566</v>
      </c>
      <c r="R376" t="s">
        <v>567</v>
      </c>
      <c r="S376" t="s">
        <v>667</v>
      </c>
      <c r="T376" t="s">
        <v>568</v>
      </c>
    </row>
    <row r="377" spans="1:20" ht="15.75" hidden="1" outlineLevel="1" x14ac:dyDescent="0.25">
      <c r="A377">
        <f t="shared" si="15"/>
        <v>328</v>
      </c>
      <c r="B377" t="s">
        <v>560</v>
      </c>
      <c r="C377" t="s">
        <v>561</v>
      </c>
      <c r="D377" s="47" t="s">
        <v>668</v>
      </c>
      <c r="E377" s="127" t="s">
        <v>643</v>
      </c>
      <c r="F377" t="s">
        <v>576</v>
      </c>
      <c r="G377" t="s">
        <v>565</v>
      </c>
      <c r="H377" t="s">
        <v>577</v>
      </c>
      <c r="I377" t="s">
        <v>578</v>
      </c>
      <c r="J377" t="s">
        <v>579</v>
      </c>
      <c r="L377" s="125">
        <v>44562</v>
      </c>
      <c r="M377" s="125">
        <v>44926</v>
      </c>
      <c r="N377" s="126">
        <f t="shared" si="16"/>
        <v>44926</v>
      </c>
      <c r="Q377" t="s">
        <v>566</v>
      </c>
      <c r="R377" t="s">
        <v>567</v>
      </c>
      <c r="S377" t="s">
        <v>667</v>
      </c>
      <c r="T377" t="s">
        <v>568</v>
      </c>
    </row>
    <row r="378" spans="1:20" ht="15.75" hidden="1" outlineLevel="1" x14ac:dyDescent="0.25">
      <c r="A378">
        <f t="shared" si="15"/>
        <v>329</v>
      </c>
      <c r="B378" t="s">
        <v>560</v>
      </c>
      <c r="C378" t="s">
        <v>561</v>
      </c>
      <c r="D378" s="47" t="s">
        <v>668</v>
      </c>
      <c r="E378" s="127" t="s">
        <v>644</v>
      </c>
      <c r="F378" t="s">
        <v>576</v>
      </c>
      <c r="G378" t="s">
        <v>565</v>
      </c>
      <c r="H378" t="s">
        <v>577</v>
      </c>
      <c r="I378" t="s">
        <v>578</v>
      </c>
      <c r="J378" t="s">
        <v>579</v>
      </c>
      <c r="L378" s="125">
        <v>44562</v>
      </c>
      <c r="M378" s="125">
        <v>44926</v>
      </c>
      <c r="N378" s="126">
        <f t="shared" si="16"/>
        <v>44926</v>
      </c>
      <c r="Q378" t="s">
        <v>566</v>
      </c>
      <c r="R378" t="s">
        <v>567</v>
      </c>
      <c r="S378" t="s">
        <v>667</v>
      </c>
      <c r="T378" t="s">
        <v>568</v>
      </c>
    </row>
    <row r="379" spans="1:20" ht="15.75" hidden="1" outlineLevel="1" x14ac:dyDescent="0.25">
      <c r="A379">
        <f t="shared" si="15"/>
        <v>330</v>
      </c>
      <c r="B379" t="s">
        <v>560</v>
      </c>
      <c r="C379" t="s">
        <v>561</v>
      </c>
      <c r="D379" s="47" t="s">
        <v>668</v>
      </c>
      <c r="E379" s="127" t="s">
        <v>645</v>
      </c>
      <c r="F379" t="s">
        <v>576</v>
      </c>
      <c r="G379" t="s">
        <v>565</v>
      </c>
      <c r="H379" t="s">
        <v>577</v>
      </c>
      <c r="I379" t="s">
        <v>578</v>
      </c>
      <c r="J379" t="s">
        <v>579</v>
      </c>
      <c r="L379" s="125">
        <v>44562</v>
      </c>
      <c r="M379" s="125">
        <v>44926</v>
      </c>
      <c r="N379" s="126">
        <f t="shared" si="16"/>
        <v>44926</v>
      </c>
      <c r="Q379" t="s">
        <v>566</v>
      </c>
      <c r="R379" t="s">
        <v>567</v>
      </c>
      <c r="S379" t="s">
        <v>667</v>
      </c>
      <c r="T379" t="s">
        <v>568</v>
      </c>
    </row>
    <row r="380" spans="1:20" ht="15.75" hidden="1" outlineLevel="1" x14ac:dyDescent="0.25">
      <c r="A380">
        <f t="shared" si="15"/>
        <v>331</v>
      </c>
      <c r="B380" t="s">
        <v>560</v>
      </c>
      <c r="C380" t="s">
        <v>561</v>
      </c>
      <c r="D380" s="47" t="s">
        <v>668</v>
      </c>
      <c r="E380" s="127" t="s">
        <v>646</v>
      </c>
      <c r="F380" t="s">
        <v>576</v>
      </c>
      <c r="G380" t="s">
        <v>565</v>
      </c>
      <c r="H380" t="s">
        <v>577</v>
      </c>
      <c r="I380" t="s">
        <v>578</v>
      </c>
      <c r="J380" t="s">
        <v>579</v>
      </c>
      <c r="L380" s="125">
        <v>44562</v>
      </c>
      <c r="M380" s="125">
        <v>44926</v>
      </c>
      <c r="N380" s="126">
        <f t="shared" si="16"/>
        <v>44926</v>
      </c>
      <c r="Q380" t="s">
        <v>566</v>
      </c>
      <c r="R380" t="s">
        <v>567</v>
      </c>
      <c r="S380" t="s">
        <v>667</v>
      </c>
      <c r="T380" t="s">
        <v>568</v>
      </c>
    </row>
    <row r="381" spans="1:20" ht="15.75" hidden="1" outlineLevel="1" x14ac:dyDescent="0.25">
      <c r="A381">
        <f t="shared" si="15"/>
        <v>332</v>
      </c>
      <c r="B381" t="s">
        <v>560</v>
      </c>
      <c r="C381" t="s">
        <v>561</v>
      </c>
      <c r="D381" s="47" t="s">
        <v>668</v>
      </c>
      <c r="E381" s="127" t="s">
        <v>647</v>
      </c>
      <c r="F381" t="s">
        <v>576</v>
      </c>
      <c r="G381" t="s">
        <v>565</v>
      </c>
      <c r="H381" t="s">
        <v>577</v>
      </c>
      <c r="I381" t="s">
        <v>578</v>
      </c>
      <c r="J381" t="s">
        <v>579</v>
      </c>
      <c r="L381" s="125">
        <v>44562</v>
      </c>
      <c r="M381" s="125">
        <v>44926</v>
      </c>
      <c r="N381" s="126">
        <f t="shared" si="16"/>
        <v>44926</v>
      </c>
      <c r="Q381" t="s">
        <v>566</v>
      </c>
      <c r="R381" t="s">
        <v>567</v>
      </c>
      <c r="S381" t="s">
        <v>667</v>
      </c>
      <c r="T381" t="s">
        <v>568</v>
      </c>
    </row>
    <row r="382" spans="1:20" ht="15.75" hidden="1" outlineLevel="1" x14ac:dyDescent="0.25">
      <c r="A382">
        <f t="shared" si="15"/>
        <v>333</v>
      </c>
      <c r="B382" t="s">
        <v>560</v>
      </c>
      <c r="C382" t="s">
        <v>561</v>
      </c>
      <c r="D382" s="47" t="s">
        <v>668</v>
      </c>
      <c r="E382" s="127" t="s">
        <v>648</v>
      </c>
      <c r="F382" t="s">
        <v>576</v>
      </c>
      <c r="G382" t="s">
        <v>565</v>
      </c>
      <c r="H382" t="s">
        <v>577</v>
      </c>
      <c r="I382" t="s">
        <v>578</v>
      </c>
      <c r="J382" t="s">
        <v>579</v>
      </c>
      <c r="L382" s="125">
        <v>44562</v>
      </c>
      <c r="M382" s="125">
        <v>44926</v>
      </c>
      <c r="N382" s="126">
        <f t="shared" si="16"/>
        <v>44926</v>
      </c>
      <c r="Q382" t="s">
        <v>566</v>
      </c>
      <c r="R382" t="s">
        <v>567</v>
      </c>
      <c r="S382" t="s">
        <v>667</v>
      </c>
      <c r="T382" t="s">
        <v>568</v>
      </c>
    </row>
    <row r="383" spans="1:20" ht="15.75" hidden="1" outlineLevel="1" x14ac:dyDescent="0.25">
      <c r="A383">
        <f t="shared" si="15"/>
        <v>334</v>
      </c>
      <c r="B383" t="s">
        <v>560</v>
      </c>
      <c r="C383" t="s">
        <v>561</v>
      </c>
      <c r="D383" s="47" t="s">
        <v>668</v>
      </c>
      <c r="E383" s="127" t="s">
        <v>649</v>
      </c>
      <c r="F383" t="s">
        <v>576</v>
      </c>
      <c r="G383" t="s">
        <v>565</v>
      </c>
      <c r="H383" t="s">
        <v>577</v>
      </c>
      <c r="I383" t="s">
        <v>578</v>
      </c>
      <c r="J383" t="s">
        <v>579</v>
      </c>
      <c r="L383" s="125">
        <v>44562</v>
      </c>
      <c r="M383" s="125">
        <v>44926</v>
      </c>
      <c r="N383" s="126">
        <f t="shared" si="16"/>
        <v>44926</v>
      </c>
      <c r="Q383" t="s">
        <v>566</v>
      </c>
      <c r="R383" t="s">
        <v>567</v>
      </c>
      <c r="S383" t="s">
        <v>667</v>
      </c>
      <c r="T383" t="s">
        <v>568</v>
      </c>
    </row>
    <row r="384" spans="1:20" ht="15.75" hidden="1" outlineLevel="1" x14ac:dyDescent="0.25">
      <c r="A384">
        <f t="shared" si="15"/>
        <v>335</v>
      </c>
      <c r="B384" t="s">
        <v>560</v>
      </c>
      <c r="C384" t="s">
        <v>561</v>
      </c>
      <c r="D384" s="47" t="s">
        <v>668</v>
      </c>
      <c r="E384" s="127" t="s">
        <v>650</v>
      </c>
      <c r="F384" t="s">
        <v>576</v>
      </c>
      <c r="G384" t="s">
        <v>565</v>
      </c>
      <c r="H384" t="s">
        <v>577</v>
      </c>
      <c r="I384" t="s">
        <v>578</v>
      </c>
      <c r="J384" t="s">
        <v>579</v>
      </c>
      <c r="L384" s="125">
        <v>44562</v>
      </c>
      <c r="M384" s="125">
        <v>44926</v>
      </c>
      <c r="N384" s="126">
        <f t="shared" si="16"/>
        <v>44926</v>
      </c>
      <c r="Q384" t="s">
        <v>566</v>
      </c>
      <c r="R384" t="s">
        <v>567</v>
      </c>
      <c r="S384" t="s">
        <v>667</v>
      </c>
      <c r="T384" t="s">
        <v>568</v>
      </c>
    </row>
    <row r="385" spans="1:20" ht="15.75" hidden="1" outlineLevel="1" x14ac:dyDescent="0.25">
      <c r="A385">
        <f t="shared" si="15"/>
        <v>336</v>
      </c>
      <c r="B385" t="s">
        <v>560</v>
      </c>
      <c r="C385" t="s">
        <v>561</v>
      </c>
      <c r="D385" s="47" t="s">
        <v>668</v>
      </c>
      <c r="E385" s="127" t="s">
        <v>651</v>
      </c>
      <c r="F385" t="s">
        <v>576</v>
      </c>
      <c r="G385" t="s">
        <v>565</v>
      </c>
      <c r="H385" t="s">
        <v>577</v>
      </c>
      <c r="I385" t="s">
        <v>578</v>
      </c>
      <c r="J385" t="s">
        <v>579</v>
      </c>
      <c r="L385" s="125">
        <v>44562</v>
      </c>
      <c r="M385" s="125">
        <v>44926</v>
      </c>
      <c r="N385" s="126">
        <f t="shared" si="16"/>
        <v>44926</v>
      </c>
      <c r="Q385" t="s">
        <v>566</v>
      </c>
      <c r="R385" t="s">
        <v>567</v>
      </c>
      <c r="S385" t="s">
        <v>667</v>
      </c>
      <c r="T385" t="s">
        <v>568</v>
      </c>
    </row>
    <row r="386" spans="1:20" ht="15.75" hidden="1" outlineLevel="1" x14ac:dyDescent="0.25">
      <c r="A386">
        <f t="shared" si="15"/>
        <v>337</v>
      </c>
      <c r="B386" t="s">
        <v>560</v>
      </c>
      <c r="C386" t="s">
        <v>561</v>
      </c>
      <c r="D386" s="47" t="s">
        <v>668</v>
      </c>
      <c r="E386" s="127" t="s">
        <v>652</v>
      </c>
      <c r="F386" t="s">
        <v>576</v>
      </c>
      <c r="G386" t="s">
        <v>565</v>
      </c>
      <c r="H386" t="s">
        <v>577</v>
      </c>
      <c r="I386" t="s">
        <v>578</v>
      </c>
      <c r="J386" t="s">
        <v>579</v>
      </c>
      <c r="L386" s="125">
        <v>44562</v>
      </c>
      <c r="M386" s="125">
        <v>44926</v>
      </c>
      <c r="N386" s="126">
        <f t="shared" si="16"/>
        <v>44926</v>
      </c>
      <c r="Q386" t="s">
        <v>566</v>
      </c>
      <c r="R386" t="s">
        <v>567</v>
      </c>
      <c r="S386" t="s">
        <v>667</v>
      </c>
      <c r="T386" t="s">
        <v>568</v>
      </c>
    </row>
    <row r="387" spans="1:20" ht="15.75" hidden="1" outlineLevel="1" x14ac:dyDescent="0.25">
      <c r="A387">
        <f t="shared" si="15"/>
        <v>338</v>
      </c>
      <c r="B387" t="s">
        <v>560</v>
      </c>
      <c r="C387" t="s">
        <v>561</v>
      </c>
      <c r="D387" s="47" t="s">
        <v>668</v>
      </c>
      <c r="E387" s="127" t="s">
        <v>653</v>
      </c>
      <c r="F387" t="s">
        <v>576</v>
      </c>
      <c r="G387" t="s">
        <v>565</v>
      </c>
      <c r="H387" t="s">
        <v>577</v>
      </c>
      <c r="I387" t="s">
        <v>578</v>
      </c>
      <c r="J387" t="s">
        <v>579</v>
      </c>
      <c r="L387" s="125">
        <v>44562</v>
      </c>
      <c r="M387" s="125">
        <v>44926</v>
      </c>
      <c r="N387" s="126">
        <f t="shared" si="16"/>
        <v>44926</v>
      </c>
      <c r="Q387" t="s">
        <v>566</v>
      </c>
      <c r="R387" t="s">
        <v>567</v>
      </c>
      <c r="S387" t="s">
        <v>667</v>
      </c>
      <c r="T387" t="s">
        <v>568</v>
      </c>
    </row>
    <row r="388" spans="1:20" ht="15.75" hidden="1" outlineLevel="1" x14ac:dyDescent="0.25">
      <c r="A388">
        <f t="shared" si="15"/>
        <v>339</v>
      </c>
      <c r="B388" t="s">
        <v>560</v>
      </c>
      <c r="C388" t="s">
        <v>561</v>
      </c>
      <c r="D388" s="47" t="s">
        <v>668</v>
      </c>
      <c r="E388" s="127" t="s">
        <v>654</v>
      </c>
      <c r="F388" t="s">
        <v>576</v>
      </c>
      <c r="G388" t="s">
        <v>565</v>
      </c>
      <c r="H388" t="s">
        <v>577</v>
      </c>
      <c r="I388" t="s">
        <v>578</v>
      </c>
      <c r="J388" t="s">
        <v>579</v>
      </c>
      <c r="L388" s="125">
        <v>44562</v>
      </c>
      <c r="M388" s="125">
        <v>44926</v>
      </c>
      <c r="N388" s="126">
        <f t="shared" si="16"/>
        <v>44926</v>
      </c>
      <c r="Q388" t="s">
        <v>566</v>
      </c>
      <c r="R388" t="s">
        <v>567</v>
      </c>
      <c r="S388" t="s">
        <v>667</v>
      </c>
      <c r="T388" t="s">
        <v>568</v>
      </c>
    </row>
    <row r="389" spans="1:20" ht="15.75" hidden="1" outlineLevel="1" x14ac:dyDescent="0.25">
      <c r="A389">
        <f t="shared" si="15"/>
        <v>340</v>
      </c>
      <c r="B389" t="s">
        <v>560</v>
      </c>
      <c r="C389" t="s">
        <v>561</v>
      </c>
      <c r="D389" s="47" t="s">
        <v>668</v>
      </c>
      <c r="E389" s="127" t="s">
        <v>655</v>
      </c>
      <c r="F389" t="s">
        <v>576</v>
      </c>
      <c r="G389" t="s">
        <v>565</v>
      </c>
      <c r="H389" t="s">
        <v>577</v>
      </c>
      <c r="I389" t="s">
        <v>578</v>
      </c>
      <c r="J389" t="s">
        <v>579</v>
      </c>
      <c r="L389" s="125">
        <v>44562</v>
      </c>
      <c r="M389" s="125">
        <v>44926</v>
      </c>
      <c r="N389" s="126">
        <f t="shared" si="16"/>
        <v>44926</v>
      </c>
      <c r="Q389" t="s">
        <v>566</v>
      </c>
      <c r="R389" t="s">
        <v>567</v>
      </c>
      <c r="S389" t="s">
        <v>667</v>
      </c>
      <c r="T389" t="s">
        <v>568</v>
      </c>
    </row>
    <row r="390" spans="1:20" ht="15.75" hidden="1" outlineLevel="1" x14ac:dyDescent="0.25">
      <c r="A390">
        <f t="shared" si="15"/>
        <v>341</v>
      </c>
      <c r="B390" t="s">
        <v>560</v>
      </c>
      <c r="C390" t="s">
        <v>561</v>
      </c>
      <c r="D390" s="47" t="s">
        <v>668</v>
      </c>
      <c r="E390" s="127" t="s">
        <v>656</v>
      </c>
      <c r="F390" t="s">
        <v>576</v>
      </c>
      <c r="G390" t="s">
        <v>565</v>
      </c>
      <c r="H390" t="s">
        <v>577</v>
      </c>
      <c r="I390" t="s">
        <v>578</v>
      </c>
      <c r="J390" t="s">
        <v>579</v>
      </c>
      <c r="L390" s="125">
        <v>44562</v>
      </c>
      <c r="M390" s="125">
        <v>44926</v>
      </c>
      <c r="N390" s="126">
        <f t="shared" si="16"/>
        <v>44926</v>
      </c>
      <c r="Q390" t="s">
        <v>566</v>
      </c>
      <c r="R390" t="s">
        <v>567</v>
      </c>
      <c r="S390" t="s">
        <v>667</v>
      </c>
      <c r="T390" t="s">
        <v>568</v>
      </c>
    </row>
    <row r="391" spans="1:20" ht="15.75" hidden="1" outlineLevel="1" x14ac:dyDescent="0.25">
      <c r="A391">
        <f t="shared" si="15"/>
        <v>342</v>
      </c>
      <c r="B391" t="s">
        <v>560</v>
      </c>
      <c r="C391" t="s">
        <v>561</v>
      </c>
      <c r="D391" s="47" t="s">
        <v>668</v>
      </c>
      <c r="E391" s="127" t="s">
        <v>657</v>
      </c>
      <c r="F391" t="s">
        <v>576</v>
      </c>
      <c r="G391" t="s">
        <v>565</v>
      </c>
      <c r="H391" t="s">
        <v>577</v>
      </c>
      <c r="I391" t="s">
        <v>578</v>
      </c>
      <c r="J391" t="s">
        <v>579</v>
      </c>
      <c r="L391" s="125">
        <v>44562</v>
      </c>
      <c r="M391" s="125">
        <v>44926</v>
      </c>
      <c r="N391" s="126">
        <f t="shared" si="16"/>
        <v>44926</v>
      </c>
      <c r="Q391" t="s">
        <v>566</v>
      </c>
      <c r="R391" t="s">
        <v>567</v>
      </c>
      <c r="S391" t="s">
        <v>667</v>
      </c>
      <c r="T391" t="s">
        <v>568</v>
      </c>
    </row>
    <row r="392" spans="1:20" ht="15.75" hidden="1" outlineLevel="1" x14ac:dyDescent="0.25">
      <c r="A392">
        <f t="shared" si="15"/>
        <v>343</v>
      </c>
      <c r="B392" t="s">
        <v>560</v>
      </c>
      <c r="C392" t="s">
        <v>561</v>
      </c>
      <c r="D392" s="47" t="s">
        <v>668</v>
      </c>
      <c r="E392" s="127" t="s">
        <v>658</v>
      </c>
      <c r="F392" t="s">
        <v>576</v>
      </c>
      <c r="G392" t="s">
        <v>565</v>
      </c>
      <c r="H392" t="s">
        <v>577</v>
      </c>
      <c r="I392" t="s">
        <v>578</v>
      </c>
      <c r="J392" t="s">
        <v>579</v>
      </c>
      <c r="L392" s="125">
        <v>44562</v>
      </c>
      <c r="M392" s="125">
        <v>44926</v>
      </c>
      <c r="N392" s="126">
        <f t="shared" si="16"/>
        <v>44926</v>
      </c>
      <c r="Q392" t="s">
        <v>566</v>
      </c>
      <c r="R392" t="s">
        <v>567</v>
      </c>
      <c r="S392" t="s">
        <v>667</v>
      </c>
      <c r="T392" t="s">
        <v>568</v>
      </c>
    </row>
    <row r="393" spans="1:20" ht="15.75" hidden="1" outlineLevel="1" x14ac:dyDescent="0.25">
      <c r="A393">
        <f t="shared" si="15"/>
        <v>344</v>
      </c>
      <c r="B393" t="s">
        <v>560</v>
      </c>
      <c r="C393" t="s">
        <v>561</v>
      </c>
      <c r="D393" s="47" t="s">
        <v>668</v>
      </c>
      <c r="E393" s="127" t="s">
        <v>659</v>
      </c>
      <c r="F393" t="s">
        <v>576</v>
      </c>
      <c r="G393" t="s">
        <v>565</v>
      </c>
      <c r="H393" t="s">
        <v>577</v>
      </c>
      <c r="I393" t="s">
        <v>578</v>
      </c>
      <c r="J393" t="s">
        <v>579</v>
      </c>
      <c r="L393" s="125">
        <v>44562</v>
      </c>
      <c r="M393" s="125">
        <v>44926</v>
      </c>
      <c r="N393" s="126">
        <f t="shared" si="16"/>
        <v>44926</v>
      </c>
      <c r="Q393" t="s">
        <v>566</v>
      </c>
      <c r="R393" t="s">
        <v>567</v>
      </c>
      <c r="S393" t="s">
        <v>667</v>
      </c>
      <c r="T393" t="s">
        <v>568</v>
      </c>
    </row>
    <row r="394" spans="1:20" ht="15.75" hidden="1" outlineLevel="1" x14ac:dyDescent="0.25">
      <c r="A394">
        <f t="shared" si="15"/>
        <v>345</v>
      </c>
      <c r="B394" t="s">
        <v>560</v>
      </c>
      <c r="C394" t="s">
        <v>561</v>
      </c>
      <c r="D394" s="47" t="s">
        <v>668</v>
      </c>
      <c r="E394" s="127" t="s">
        <v>660</v>
      </c>
      <c r="F394" t="s">
        <v>576</v>
      </c>
      <c r="G394" t="s">
        <v>565</v>
      </c>
      <c r="H394" t="s">
        <v>577</v>
      </c>
      <c r="I394" t="s">
        <v>578</v>
      </c>
      <c r="J394" t="s">
        <v>579</v>
      </c>
      <c r="L394" s="125">
        <v>44562</v>
      </c>
      <c r="M394" s="125">
        <v>44926</v>
      </c>
      <c r="N394" s="126">
        <f t="shared" si="16"/>
        <v>44926</v>
      </c>
      <c r="Q394" t="s">
        <v>566</v>
      </c>
      <c r="R394" t="s">
        <v>567</v>
      </c>
      <c r="S394" t="s">
        <v>667</v>
      </c>
      <c r="T394" t="s">
        <v>568</v>
      </c>
    </row>
    <row r="395" spans="1:20" ht="15.75" hidden="1" outlineLevel="1" x14ac:dyDescent="0.25">
      <c r="A395">
        <f t="shared" si="15"/>
        <v>346</v>
      </c>
      <c r="B395" t="s">
        <v>560</v>
      </c>
      <c r="C395" t="s">
        <v>561</v>
      </c>
      <c r="D395" s="47" t="s">
        <v>668</v>
      </c>
      <c r="E395" s="127" t="s">
        <v>661</v>
      </c>
      <c r="F395" t="s">
        <v>576</v>
      </c>
      <c r="G395" t="s">
        <v>565</v>
      </c>
      <c r="H395" t="s">
        <v>577</v>
      </c>
      <c r="I395" t="s">
        <v>578</v>
      </c>
      <c r="J395" t="s">
        <v>579</v>
      </c>
      <c r="L395" s="125">
        <v>44562</v>
      </c>
      <c r="M395" s="125">
        <v>44926</v>
      </c>
      <c r="N395" s="126">
        <f t="shared" si="16"/>
        <v>44926</v>
      </c>
      <c r="Q395" t="s">
        <v>566</v>
      </c>
      <c r="R395" t="s">
        <v>567</v>
      </c>
      <c r="S395" t="s">
        <v>667</v>
      </c>
      <c r="T395" t="s">
        <v>568</v>
      </c>
    </row>
    <row r="396" spans="1:20" ht="15.75" hidden="1" outlineLevel="1" x14ac:dyDescent="0.25">
      <c r="A396">
        <f t="shared" si="15"/>
        <v>347</v>
      </c>
      <c r="B396" t="s">
        <v>560</v>
      </c>
      <c r="C396" t="s">
        <v>561</v>
      </c>
      <c r="D396" s="47" t="s">
        <v>668</v>
      </c>
      <c r="E396" s="127" t="s">
        <v>662</v>
      </c>
      <c r="F396" t="s">
        <v>576</v>
      </c>
      <c r="G396" t="s">
        <v>565</v>
      </c>
      <c r="H396" t="s">
        <v>577</v>
      </c>
      <c r="I396" t="s">
        <v>578</v>
      </c>
      <c r="J396" t="s">
        <v>579</v>
      </c>
      <c r="L396" s="125">
        <v>44562</v>
      </c>
      <c r="M396" s="125">
        <v>44926</v>
      </c>
      <c r="N396" s="126">
        <f t="shared" si="16"/>
        <v>44926</v>
      </c>
      <c r="Q396" t="s">
        <v>566</v>
      </c>
      <c r="R396" t="s">
        <v>567</v>
      </c>
      <c r="S396" t="s">
        <v>667</v>
      </c>
      <c r="T396" t="s">
        <v>568</v>
      </c>
    </row>
    <row r="397" spans="1:20" ht="15.75" hidden="1" outlineLevel="1" x14ac:dyDescent="0.25">
      <c r="A397">
        <f t="shared" si="15"/>
        <v>348</v>
      </c>
      <c r="B397" t="s">
        <v>560</v>
      </c>
      <c r="C397" t="s">
        <v>561</v>
      </c>
      <c r="D397" s="47" t="s">
        <v>668</v>
      </c>
      <c r="E397" s="127" t="s">
        <v>663</v>
      </c>
      <c r="F397" t="s">
        <v>576</v>
      </c>
      <c r="G397" t="s">
        <v>565</v>
      </c>
      <c r="H397" t="s">
        <v>577</v>
      </c>
      <c r="I397" t="s">
        <v>578</v>
      </c>
      <c r="J397" t="s">
        <v>579</v>
      </c>
      <c r="L397" s="125">
        <v>44562</v>
      </c>
      <c r="M397" s="125">
        <v>44926</v>
      </c>
      <c r="N397" s="126">
        <f t="shared" si="16"/>
        <v>44926</v>
      </c>
      <c r="Q397" t="s">
        <v>566</v>
      </c>
      <c r="R397" t="s">
        <v>567</v>
      </c>
      <c r="S397" t="s">
        <v>667</v>
      </c>
      <c r="T397" t="s">
        <v>568</v>
      </c>
    </row>
    <row r="398" spans="1:20" ht="15.75" hidden="1" outlineLevel="1" x14ac:dyDescent="0.25">
      <c r="A398">
        <f t="shared" si="15"/>
        <v>349</v>
      </c>
      <c r="B398" t="s">
        <v>560</v>
      </c>
      <c r="C398" t="s">
        <v>561</v>
      </c>
      <c r="D398" s="47" t="s">
        <v>668</v>
      </c>
      <c r="E398" s="127" t="s">
        <v>664</v>
      </c>
      <c r="F398" t="s">
        <v>576</v>
      </c>
      <c r="G398" t="s">
        <v>565</v>
      </c>
      <c r="H398" t="s">
        <v>577</v>
      </c>
      <c r="I398" t="s">
        <v>578</v>
      </c>
      <c r="J398" t="s">
        <v>579</v>
      </c>
      <c r="L398" s="125">
        <v>44562</v>
      </c>
      <c r="M398" s="125">
        <v>44926</v>
      </c>
      <c r="N398" s="126">
        <f t="shared" si="16"/>
        <v>44926</v>
      </c>
      <c r="Q398" t="s">
        <v>566</v>
      </c>
      <c r="R398" t="s">
        <v>567</v>
      </c>
      <c r="S398" t="s">
        <v>667</v>
      </c>
      <c r="T398" t="s">
        <v>568</v>
      </c>
    </row>
    <row r="399" spans="1:20" ht="15.75" hidden="1" outlineLevel="1" x14ac:dyDescent="0.25">
      <c r="A399">
        <f t="shared" si="15"/>
        <v>350</v>
      </c>
      <c r="B399" t="s">
        <v>560</v>
      </c>
      <c r="C399" t="s">
        <v>561</v>
      </c>
      <c r="D399" s="47" t="s">
        <v>668</v>
      </c>
      <c r="E399" s="127" t="s">
        <v>665</v>
      </c>
      <c r="F399" t="s">
        <v>576</v>
      </c>
      <c r="G399" t="s">
        <v>565</v>
      </c>
      <c r="H399" t="s">
        <v>577</v>
      </c>
      <c r="I399" t="s">
        <v>578</v>
      </c>
      <c r="J399" t="s">
        <v>579</v>
      </c>
      <c r="L399" s="125">
        <v>44562</v>
      </c>
      <c r="M399" s="125">
        <v>44926</v>
      </c>
      <c r="N399" s="126">
        <f t="shared" si="16"/>
        <v>44926</v>
      </c>
      <c r="Q399" t="s">
        <v>566</v>
      </c>
      <c r="R399" t="s">
        <v>567</v>
      </c>
      <c r="S399" t="s">
        <v>667</v>
      </c>
      <c r="T399" t="s">
        <v>568</v>
      </c>
    </row>
    <row r="400" spans="1:20" ht="15.75" hidden="1" outlineLevel="1" x14ac:dyDescent="0.25">
      <c r="A400">
        <f t="shared" si="15"/>
        <v>351</v>
      </c>
      <c r="B400" t="s">
        <v>560</v>
      </c>
      <c r="C400" t="s">
        <v>561</v>
      </c>
      <c r="D400" s="47" t="s">
        <v>669</v>
      </c>
      <c r="E400" s="127" t="s">
        <v>636</v>
      </c>
      <c r="F400" t="s">
        <v>576</v>
      </c>
      <c r="G400" t="s">
        <v>565</v>
      </c>
      <c r="H400" t="s">
        <v>577</v>
      </c>
      <c r="I400" t="s">
        <v>578</v>
      </c>
      <c r="J400" t="s">
        <v>579</v>
      </c>
      <c r="L400" s="125">
        <f>M400-364</f>
        <v>44485</v>
      </c>
      <c r="M400" s="125">
        <v>44849</v>
      </c>
      <c r="N400" s="126">
        <f t="shared" si="16"/>
        <v>44849</v>
      </c>
      <c r="Q400" t="s">
        <v>566</v>
      </c>
      <c r="R400" t="s">
        <v>567</v>
      </c>
      <c r="S400" t="s">
        <v>667</v>
      </c>
      <c r="T400" t="s">
        <v>568</v>
      </c>
    </row>
    <row r="401" spans="1:20" ht="15.75" hidden="1" outlineLevel="1" x14ac:dyDescent="0.25">
      <c r="A401">
        <f t="shared" si="15"/>
        <v>352</v>
      </c>
      <c r="B401" t="s">
        <v>560</v>
      </c>
      <c r="C401" t="s">
        <v>561</v>
      </c>
      <c r="D401" s="47" t="s">
        <v>669</v>
      </c>
      <c r="E401" s="127" t="s">
        <v>637</v>
      </c>
      <c r="F401" t="s">
        <v>576</v>
      </c>
      <c r="G401" t="s">
        <v>565</v>
      </c>
      <c r="H401" t="s">
        <v>577</v>
      </c>
      <c r="I401" t="s">
        <v>578</v>
      </c>
      <c r="J401" t="s">
        <v>579</v>
      </c>
      <c r="L401" s="125">
        <f t="shared" ref="L401:L402" si="17">M401-364</f>
        <v>44485</v>
      </c>
      <c r="M401" s="125">
        <v>44849</v>
      </c>
      <c r="N401" s="126">
        <f t="shared" si="16"/>
        <v>44849</v>
      </c>
      <c r="Q401" t="s">
        <v>566</v>
      </c>
      <c r="R401" t="s">
        <v>567</v>
      </c>
      <c r="S401" t="s">
        <v>667</v>
      </c>
      <c r="T401" t="s">
        <v>568</v>
      </c>
    </row>
    <row r="402" spans="1:20" ht="15.75" hidden="1" outlineLevel="1" x14ac:dyDescent="0.25">
      <c r="A402">
        <f t="shared" si="15"/>
        <v>353</v>
      </c>
      <c r="B402" t="s">
        <v>560</v>
      </c>
      <c r="C402" t="s">
        <v>561</v>
      </c>
      <c r="D402" s="47" t="s">
        <v>669</v>
      </c>
      <c r="E402" s="127" t="s">
        <v>638</v>
      </c>
      <c r="F402" t="s">
        <v>576</v>
      </c>
      <c r="G402" t="s">
        <v>565</v>
      </c>
      <c r="H402" t="s">
        <v>577</v>
      </c>
      <c r="I402" t="s">
        <v>578</v>
      </c>
      <c r="J402" t="s">
        <v>579</v>
      </c>
      <c r="L402" s="125">
        <f t="shared" si="17"/>
        <v>44603</v>
      </c>
      <c r="M402" s="125">
        <v>44967</v>
      </c>
      <c r="N402" s="126">
        <f t="shared" si="16"/>
        <v>44967</v>
      </c>
      <c r="Q402" t="s">
        <v>566</v>
      </c>
      <c r="R402" t="s">
        <v>567</v>
      </c>
      <c r="S402" t="s">
        <v>667</v>
      </c>
      <c r="T402" t="s">
        <v>568</v>
      </c>
    </row>
    <row r="403" spans="1:20" ht="15.75" hidden="1" outlineLevel="1" x14ac:dyDescent="0.25">
      <c r="A403">
        <f t="shared" si="15"/>
        <v>354</v>
      </c>
      <c r="B403" t="s">
        <v>560</v>
      </c>
      <c r="C403" t="s">
        <v>561</v>
      </c>
      <c r="D403" s="47" t="s">
        <v>669</v>
      </c>
      <c r="E403" s="127" t="s">
        <v>639</v>
      </c>
      <c r="F403" t="s">
        <v>576</v>
      </c>
      <c r="G403" t="s">
        <v>565</v>
      </c>
      <c r="H403" t="s">
        <v>577</v>
      </c>
      <c r="I403" t="s">
        <v>578</v>
      </c>
      <c r="J403" t="s">
        <v>579</v>
      </c>
      <c r="L403" s="125"/>
      <c r="N403" s="126"/>
      <c r="Q403" t="s">
        <v>670</v>
      </c>
      <c r="R403" t="s">
        <v>567</v>
      </c>
      <c r="S403" t="s">
        <v>667</v>
      </c>
      <c r="T403" t="s">
        <v>568</v>
      </c>
    </row>
    <row r="404" spans="1:20" ht="15.75" hidden="1" outlineLevel="1" x14ac:dyDescent="0.25">
      <c r="A404">
        <f t="shared" si="15"/>
        <v>355</v>
      </c>
      <c r="B404" t="s">
        <v>560</v>
      </c>
      <c r="C404" t="s">
        <v>561</v>
      </c>
      <c r="D404" s="47" t="s">
        <v>669</v>
      </c>
      <c r="E404" s="127" t="s">
        <v>640</v>
      </c>
      <c r="F404" t="s">
        <v>576</v>
      </c>
      <c r="G404" t="s">
        <v>565</v>
      </c>
      <c r="H404" t="s">
        <v>577</v>
      </c>
      <c r="I404" t="s">
        <v>578</v>
      </c>
      <c r="J404" t="s">
        <v>579</v>
      </c>
      <c r="L404" s="125">
        <f t="shared" ref="L404:L429" si="18">M404-364</f>
        <v>44485</v>
      </c>
      <c r="M404" s="125">
        <v>44849</v>
      </c>
      <c r="N404" s="126">
        <f t="shared" si="16"/>
        <v>44849</v>
      </c>
      <c r="Q404" t="s">
        <v>566</v>
      </c>
      <c r="R404" t="s">
        <v>567</v>
      </c>
      <c r="S404" t="s">
        <v>667</v>
      </c>
      <c r="T404" t="s">
        <v>568</v>
      </c>
    </row>
    <row r="405" spans="1:20" ht="15.75" hidden="1" outlineLevel="1" x14ac:dyDescent="0.25">
      <c r="A405">
        <f t="shared" si="15"/>
        <v>356</v>
      </c>
      <c r="B405" t="s">
        <v>560</v>
      </c>
      <c r="C405" t="s">
        <v>561</v>
      </c>
      <c r="D405" s="47" t="s">
        <v>669</v>
      </c>
      <c r="E405" s="127" t="s">
        <v>641</v>
      </c>
      <c r="F405" t="s">
        <v>576</v>
      </c>
      <c r="G405" t="s">
        <v>565</v>
      </c>
      <c r="H405" t="s">
        <v>577</v>
      </c>
      <c r="I405" t="s">
        <v>578</v>
      </c>
      <c r="J405" t="s">
        <v>579</v>
      </c>
      <c r="L405" s="125">
        <f t="shared" si="18"/>
        <v>44485</v>
      </c>
      <c r="M405" s="125">
        <v>44849</v>
      </c>
      <c r="N405" s="126">
        <f t="shared" si="16"/>
        <v>44849</v>
      </c>
      <c r="Q405" t="s">
        <v>566</v>
      </c>
      <c r="R405" t="s">
        <v>567</v>
      </c>
      <c r="S405" t="s">
        <v>667</v>
      </c>
      <c r="T405" t="s">
        <v>568</v>
      </c>
    </row>
    <row r="406" spans="1:20" ht="15.75" hidden="1" outlineLevel="1" x14ac:dyDescent="0.25">
      <c r="A406">
        <f t="shared" si="15"/>
        <v>357</v>
      </c>
      <c r="B406" t="s">
        <v>560</v>
      </c>
      <c r="C406" t="s">
        <v>561</v>
      </c>
      <c r="D406" s="47" t="s">
        <v>669</v>
      </c>
      <c r="E406" s="127" t="s">
        <v>642</v>
      </c>
      <c r="F406" t="s">
        <v>576</v>
      </c>
      <c r="G406" t="s">
        <v>565</v>
      </c>
      <c r="H406" t="s">
        <v>577</v>
      </c>
      <c r="I406" t="s">
        <v>578</v>
      </c>
      <c r="J406" t="s">
        <v>579</v>
      </c>
      <c r="L406" s="125">
        <f t="shared" si="18"/>
        <v>44603</v>
      </c>
      <c r="M406" s="125">
        <v>44967</v>
      </c>
      <c r="N406" s="126">
        <f t="shared" si="16"/>
        <v>44967</v>
      </c>
      <c r="Q406" t="s">
        <v>566</v>
      </c>
      <c r="R406" t="s">
        <v>567</v>
      </c>
      <c r="S406" t="s">
        <v>667</v>
      </c>
      <c r="T406" t="s">
        <v>568</v>
      </c>
    </row>
    <row r="407" spans="1:20" ht="15.75" hidden="1" outlineLevel="1" x14ac:dyDescent="0.25">
      <c r="A407">
        <f t="shared" si="15"/>
        <v>358</v>
      </c>
      <c r="B407" t="s">
        <v>560</v>
      </c>
      <c r="C407" t="s">
        <v>561</v>
      </c>
      <c r="D407" s="47" t="s">
        <v>669</v>
      </c>
      <c r="E407" s="127" t="s">
        <v>643</v>
      </c>
      <c r="F407" t="s">
        <v>576</v>
      </c>
      <c r="G407" t="s">
        <v>565</v>
      </c>
      <c r="H407" t="s">
        <v>577</v>
      </c>
      <c r="I407" t="s">
        <v>578</v>
      </c>
      <c r="J407" t="s">
        <v>579</v>
      </c>
      <c r="L407" s="125">
        <f t="shared" si="18"/>
        <v>44603</v>
      </c>
      <c r="M407" s="125">
        <v>44967</v>
      </c>
      <c r="N407" s="126">
        <f t="shared" si="16"/>
        <v>44967</v>
      </c>
      <c r="Q407" t="s">
        <v>566</v>
      </c>
      <c r="R407" t="s">
        <v>567</v>
      </c>
      <c r="S407" t="s">
        <v>667</v>
      </c>
      <c r="T407" t="s">
        <v>568</v>
      </c>
    </row>
    <row r="408" spans="1:20" ht="15.75" hidden="1" outlineLevel="1" x14ac:dyDescent="0.25">
      <c r="A408">
        <f t="shared" si="15"/>
        <v>359</v>
      </c>
      <c r="B408" t="s">
        <v>560</v>
      </c>
      <c r="C408" t="s">
        <v>561</v>
      </c>
      <c r="D408" s="47" t="s">
        <v>669</v>
      </c>
      <c r="E408" s="127" t="s">
        <v>644</v>
      </c>
      <c r="F408" t="s">
        <v>576</v>
      </c>
      <c r="G408" t="s">
        <v>565</v>
      </c>
      <c r="H408" t="s">
        <v>577</v>
      </c>
      <c r="I408" t="s">
        <v>578</v>
      </c>
      <c r="J408" t="s">
        <v>579</v>
      </c>
      <c r="L408" s="125">
        <f t="shared" si="18"/>
        <v>44485</v>
      </c>
      <c r="M408" s="125">
        <v>44849</v>
      </c>
      <c r="N408" s="126">
        <f t="shared" si="16"/>
        <v>44849</v>
      </c>
      <c r="Q408" t="s">
        <v>566</v>
      </c>
      <c r="R408" t="s">
        <v>567</v>
      </c>
      <c r="S408" t="s">
        <v>667</v>
      </c>
      <c r="T408" t="s">
        <v>568</v>
      </c>
    </row>
    <row r="409" spans="1:20" ht="15.75" hidden="1" outlineLevel="1" x14ac:dyDescent="0.25">
      <c r="A409">
        <f t="shared" si="15"/>
        <v>360</v>
      </c>
      <c r="B409" t="s">
        <v>560</v>
      </c>
      <c r="C409" t="s">
        <v>561</v>
      </c>
      <c r="D409" s="47" t="s">
        <v>669</v>
      </c>
      <c r="E409" s="127" t="s">
        <v>645</v>
      </c>
      <c r="F409" t="s">
        <v>576</v>
      </c>
      <c r="G409" t="s">
        <v>565</v>
      </c>
      <c r="H409" t="s">
        <v>577</v>
      </c>
      <c r="I409" t="s">
        <v>578</v>
      </c>
      <c r="J409" t="s">
        <v>579</v>
      </c>
      <c r="L409" s="125">
        <f t="shared" si="18"/>
        <v>44485</v>
      </c>
      <c r="M409" s="125">
        <v>44849</v>
      </c>
      <c r="N409" s="126">
        <f t="shared" si="16"/>
        <v>44849</v>
      </c>
      <c r="Q409" t="s">
        <v>566</v>
      </c>
      <c r="R409" t="s">
        <v>567</v>
      </c>
      <c r="S409" t="s">
        <v>667</v>
      </c>
      <c r="T409" t="s">
        <v>568</v>
      </c>
    </row>
    <row r="410" spans="1:20" ht="15.75" hidden="1" outlineLevel="1" x14ac:dyDescent="0.25">
      <c r="A410">
        <f t="shared" si="15"/>
        <v>361</v>
      </c>
      <c r="B410" t="s">
        <v>560</v>
      </c>
      <c r="C410" t="s">
        <v>561</v>
      </c>
      <c r="D410" s="47" t="s">
        <v>669</v>
      </c>
      <c r="E410" s="127" t="s">
        <v>646</v>
      </c>
      <c r="F410" t="s">
        <v>576</v>
      </c>
      <c r="G410" t="s">
        <v>565</v>
      </c>
      <c r="H410" t="s">
        <v>577</v>
      </c>
      <c r="I410" t="s">
        <v>578</v>
      </c>
      <c r="J410" t="s">
        <v>579</v>
      </c>
      <c r="L410" s="125">
        <f t="shared" si="18"/>
        <v>44485</v>
      </c>
      <c r="M410" s="125">
        <v>44849</v>
      </c>
      <c r="N410" s="126">
        <f t="shared" si="16"/>
        <v>44849</v>
      </c>
      <c r="Q410" t="s">
        <v>566</v>
      </c>
      <c r="R410" t="s">
        <v>567</v>
      </c>
      <c r="S410" t="s">
        <v>667</v>
      </c>
      <c r="T410" t="s">
        <v>568</v>
      </c>
    </row>
    <row r="411" spans="1:20" ht="15.75" hidden="1" outlineLevel="1" x14ac:dyDescent="0.25">
      <c r="A411">
        <f t="shared" si="15"/>
        <v>362</v>
      </c>
      <c r="B411" t="s">
        <v>560</v>
      </c>
      <c r="C411" t="s">
        <v>561</v>
      </c>
      <c r="D411" s="47" t="s">
        <v>669</v>
      </c>
      <c r="E411" s="127" t="s">
        <v>647</v>
      </c>
      <c r="F411" t="s">
        <v>576</v>
      </c>
      <c r="G411" t="s">
        <v>565</v>
      </c>
      <c r="H411" t="s">
        <v>577</v>
      </c>
      <c r="I411" t="s">
        <v>578</v>
      </c>
      <c r="J411" t="s">
        <v>579</v>
      </c>
      <c r="L411" s="125">
        <f t="shared" si="18"/>
        <v>44793</v>
      </c>
      <c r="M411" s="125">
        <v>45157</v>
      </c>
      <c r="N411" s="126">
        <f t="shared" si="16"/>
        <v>45157</v>
      </c>
      <c r="Q411" t="s">
        <v>566</v>
      </c>
      <c r="R411" t="s">
        <v>567</v>
      </c>
      <c r="S411" t="s">
        <v>667</v>
      </c>
      <c r="T411" t="s">
        <v>568</v>
      </c>
    </row>
    <row r="412" spans="1:20" ht="15.75" hidden="1" outlineLevel="1" x14ac:dyDescent="0.25">
      <c r="A412">
        <f t="shared" si="15"/>
        <v>363</v>
      </c>
      <c r="B412" t="s">
        <v>560</v>
      </c>
      <c r="C412" t="s">
        <v>561</v>
      </c>
      <c r="D412" s="47" t="s">
        <v>669</v>
      </c>
      <c r="E412" s="127" t="s">
        <v>648</v>
      </c>
      <c r="F412" t="s">
        <v>576</v>
      </c>
      <c r="G412" t="s">
        <v>565</v>
      </c>
      <c r="H412" t="s">
        <v>577</v>
      </c>
      <c r="I412" t="s">
        <v>578</v>
      </c>
      <c r="J412" t="s">
        <v>579</v>
      </c>
      <c r="L412" s="125">
        <f t="shared" si="18"/>
        <v>44485</v>
      </c>
      <c r="M412" s="125">
        <v>44849</v>
      </c>
      <c r="N412" s="126">
        <f t="shared" si="16"/>
        <v>44849</v>
      </c>
      <c r="Q412" t="s">
        <v>566</v>
      </c>
      <c r="R412" t="s">
        <v>567</v>
      </c>
      <c r="S412" t="s">
        <v>667</v>
      </c>
      <c r="T412" t="s">
        <v>568</v>
      </c>
    </row>
    <row r="413" spans="1:20" ht="15.75" hidden="1" outlineLevel="1" x14ac:dyDescent="0.25">
      <c r="A413">
        <f t="shared" si="15"/>
        <v>364</v>
      </c>
      <c r="B413" t="s">
        <v>560</v>
      </c>
      <c r="C413" t="s">
        <v>561</v>
      </c>
      <c r="D413" s="47" t="s">
        <v>669</v>
      </c>
      <c r="E413" s="127" t="s">
        <v>649</v>
      </c>
      <c r="F413" t="s">
        <v>576</v>
      </c>
      <c r="G413" t="s">
        <v>565</v>
      </c>
      <c r="H413" t="s">
        <v>577</v>
      </c>
      <c r="I413" t="s">
        <v>578</v>
      </c>
      <c r="J413" t="s">
        <v>579</v>
      </c>
      <c r="L413" s="125">
        <f t="shared" si="18"/>
        <v>44485</v>
      </c>
      <c r="M413" s="125">
        <v>44849</v>
      </c>
      <c r="N413" s="126">
        <f t="shared" si="16"/>
        <v>44849</v>
      </c>
      <c r="Q413" t="s">
        <v>566</v>
      </c>
      <c r="R413" t="s">
        <v>567</v>
      </c>
      <c r="S413" t="s">
        <v>667</v>
      </c>
      <c r="T413" t="s">
        <v>568</v>
      </c>
    </row>
    <row r="414" spans="1:20" ht="15.75" hidden="1" outlineLevel="1" x14ac:dyDescent="0.25">
      <c r="A414">
        <f t="shared" si="15"/>
        <v>365</v>
      </c>
      <c r="B414" t="s">
        <v>560</v>
      </c>
      <c r="C414" t="s">
        <v>561</v>
      </c>
      <c r="D414" s="47" t="s">
        <v>669</v>
      </c>
      <c r="E414" s="127" t="s">
        <v>650</v>
      </c>
      <c r="F414" t="s">
        <v>576</v>
      </c>
      <c r="G414" t="s">
        <v>565</v>
      </c>
      <c r="H414" t="s">
        <v>577</v>
      </c>
      <c r="I414" t="s">
        <v>578</v>
      </c>
      <c r="J414" t="s">
        <v>579</v>
      </c>
      <c r="L414" s="125">
        <f t="shared" si="18"/>
        <v>44485</v>
      </c>
      <c r="M414" s="125">
        <v>44849</v>
      </c>
      <c r="N414" s="126">
        <f t="shared" si="16"/>
        <v>44849</v>
      </c>
      <c r="Q414" t="s">
        <v>566</v>
      </c>
      <c r="R414" t="s">
        <v>567</v>
      </c>
      <c r="S414" t="s">
        <v>667</v>
      </c>
      <c r="T414" t="s">
        <v>568</v>
      </c>
    </row>
    <row r="415" spans="1:20" ht="15.75" hidden="1" outlineLevel="1" x14ac:dyDescent="0.25">
      <c r="A415">
        <f t="shared" si="15"/>
        <v>366</v>
      </c>
      <c r="B415" t="s">
        <v>560</v>
      </c>
      <c r="C415" t="s">
        <v>561</v>
      </c>
      <c r="D415" s="47" t="s">
        <v>669</v>
      </c>
      <c r="E415" s="127" t="s">
        <v>651</v>
      </c>
      <c r="F415" t="s">
        <v>576</v>
      </c>
      <c r="G415" t="s">
        <v>565</v>
      </c>
      <c r="H415" t="s">
        <v>577</v>
      </c>
      <c r="I415" t="s">
        <v>578</v>
      </c>
      <c r="J415" t="s">
        <v>579</v>
      </c>
      <c r="L415" s="125">
        <f t="shared" si="18"/>
        <v>44485</v>
      </c>
      <c r="M415" s="125">
        <v>44849</v>
      </c>
      <c r="N415" s="126">
        <f t="shared" si="16"/>
        <v>44849</v>
      </c>
      <c r="Q415" t="s">
        <v>566</v>
      </c>
      <c r="R415" t="s">
        <v>567</v>
      </c>
      <c r="S415" t="s">
        <v>667</v>
      </c>
      <c r="T415" t="s">
        <v>568</v>
      </c>
    </row>
    <row r="416" spans="1:20" ht="15.75" hidden="1" outlineLevel="1" x14ac:dyDescent="0.25">
      <c r="A416">
        <f t="shared" si="15"/>
        <v>367</v>
      </c>
      <c r="B416" t="s">
        <v>560</v>
      </c>
      <c r="C416" t="s">
        <v>561</v>
      </c>
      <c r="D416" s="47" t="s">
        <v>669</v>
      </c>
      <c r="E416" s="127" t="s">
        <v>652</v>
      </c>
      <c r="F416" t="s">
        <v>576</v>
      </c>
      <c r="G416" t="s">
        <v>565</v>
      </c>
      <c r="H416" t="s">
        <v>577</v>
      </c>
      <c r="I416" t="s">
        <v>578</v>
      </c>
      <c r="J416" t="s">
        <v>579</v>
      </c>
      <c r="L416" s="125">
        <f t="shared" si="18"/>
        <v>44485</v>
      </c>
      <c r="M416" s="125">
        <v>44849</v>
      </c>
      <c r="N416" s="126">
        <f t="shared" si="16"/>
        <v>44849</v>
      </c>
      <c r="Q416" t="s">
        <v>566</v>
      </c>
      <c r="R416" t="s">
        <v>567</v>
      </c>
      <c r="S416" t="s">
        <v>667</v>
      </c>
      <c r="T416" t="s">
        <v>568</v>
      </c>
    </row>
    <row r="417" spans="1:20" ht="15.75" hidden="1" outlineLevel="1" x14ac:dyDescent="0.25">
      <c r="A417">
        <f t="shared" si="15"/>
        <v>368</v>
      </c>
      <c r="B417" t="s">
        <v>560</v>
      </c>
      <c r="C417" t="s">
        <v>561</v>
      </c>
      <c r="D417" s="47" t="s">
        <v>669</v>
      </c>
      <c r="E417" s="127" t="s">
        <v>653</v>
      </c>
      <c r="F417" t="s">
        <v>576</v>
      </c>
      <c r="G417" t="s">
        <v>565</v>
      </c>
      <c r="H417" t="s">
        <v>577</v>
      </c>
      <c r="I417" t="s">
        <v>578</v>
      </c>
      <c r="J417" t="s">
        <v>579</v>
      </c>
      <c r="L417" s="125">
        <f t="shared" si="18"/>
        <v>44485</v>
      </c>
      <c r="M417" s="125">
        <v>44849</v>
      </c>
      <c r="N417" s="126">
        <f t="shared" si="16"/>
        <v>44849</v>
      </c>
      <c r="Q417" t="s">
        <v>566</v>
      </c>
      <c r="R417" t="s">
        <v>567</v>
      </c>
      <c r="S417" t="s">
        <v>667</v>
      </c>
      <c r="T417" t="s">
        <v>568</v>
      </c>
    </row>
    <row r="418" spans="1:20" ht="15.75" hidden="1" outlineLevel="1" x14ac:dyDescent="0.25">
      <c r="A418">
        <f t="shared" si="15"/>
        <v>369</v>
      </c>
      <c r="B418" t="s">
        <v>560</v>
      </c>
      <c r="C418" t="s">
        <v>561</v>
      </c>
      <c r="D418" s="47" t="s">
        <v>669</v>
      </c>
      <c r="E418" s="127" t="s">
        <v>654</v>
      </c>
      <c r="F418" t="s">
        <v>576</v>
      </c>
      <c r="G418" t="s">
        <v>565</v>
      </c>
      <c r="H418" t="s">
        <v>577</v>
      </c>
      <c r="I418" t="s">
        <v>578</v>
      </c>
      <c r="J418" t="s">
        <v>579</v>
      </c>
      <c r="L418" s="125">
        <f t="shared" si="18"/>
        <v>44594</v>
      </c>
      <c r="M418" s="125">
        <v>44958</v>
      </c>
      <c r="N418" s="126">
        <f t="shared" si="16"/>
        <v>44958</v>
      </c>
      <c r="Q418" t="s">
        <v>566</v>
      </c>
      <c r="R418" t="s">
        <v>567</v>
      </c>
      <c r="S418" t="s">
        <v>667</v>
      </c>
      <c r="T418" t="s">
        <v>568</v>
      </c>
    </row>
    <row r="419" spans="1:20" ht="15.75" hidden="1" outlineLevel="1" x14ac:dyDescent="0.25">
      <c r="A419">
        <f t="shared" si="15"/>
        <v>370</v>
      </c>
      <c r="B419" t="s">
        <v>560</v>
      </c>
      <c r="C419" t="s">
        <v>561</v>
      </c>
      <c r="D419" s="47" t="s">
        <v>669</v>
      </c>
      <c r="E419" s="127" t="s">
        <v>655</v>
      </c>
      <c r="F419" t="s">
        <v>576</v>
      </c>
      <c r="G419" t="s">
        <v>565</v>
      </c>
      <c r="H419" t="s">
        <v>577</v>
      </c>
      <c r="I419" t="s">
        <v>578</v>
      </c>
      <c r="J419" t="s">
        <v>579</v>
      </c>
      <c r="L419" s="125">
        <f t="shared" si="18"/>
        <v>44603</v>
      </c>
      <c r="M419" s="125">
        <v>44967</v>
      </c>
      <c r="N419" s="126">
        <f t="shared" si="16"/>
        <v>44967</v>
      </c>
      <c r="Q419" t="s">
        <v>566</v>
      </c>
      <c r="R419" t="s">
        <v>567</v>
      </c>
      <c r="S419" t="s">
        <v>667</v>
      </c>
      <c r="T419" t="s">
        <v>568</v>
      </c>
    </row>
    <row r="420" spans="1:20" ht="15.75" hidden="1" outlineLevel="1" x14ac:dyDescent="0.25">
      <c r="A420">
        <f t="shared" si="15"/>
        <v>371</v>
      </c>
      <c r="B420" t="s">
        <v>560</v>
      </c>
      <c r="C420" t="s">
        <v>561</v>
      </c>
      <c r="D420" s="47" t="s">
        <v>669</v>
      </c>
      <c r="E420" s="127" t="s">
        <v>656</v>
      </c>
      <c r="F420" t="s">
        <v>576</v>
      </c>
      <c r="G420" t="s">
        <v>565</v>
      </c>
      <c r="H420" t="s">
        <v>577</v>
      </c>
      <c r="I420" t="s">
        <v>578</v>
      </c>
      <c r="J420" t="s">
        <v>579</v>
      </c>
      <c r="L420" s="125">
        <f t="shared" si="18"/>
        <v>44594</v>
      </c>
      <c r="M420" s="125">
        <v>44958</v>
      </c>
      <c r="N420" s="126">
        <f t="shared" si="16"/>
        <v>44958</v>
      </c>
      <c r="Q420" t="s">
        <v>566</v>
      </c>
      <c r="R420" t="s">
        <v>567</v>
      </c>
      <c r="S420" t="s">
        <v>667</v>
      </c>
      <c r="T420" t="s">
        <v>568</v>
      </c>
    </row>
    <row r="421" spans="1:20" ht="15.75" hidden="1" outlineLevel="1" x14ac:dyDescent="0.25">
      <c r="A421">
        <f t="shared" si="15"/>
        <v>372</v>
      </c>
      <c r="B421" t="s">
        <v>560</v>
      </c>
      <c r="C421" t="s">
        <v>561</v>
      </c>
      <c r="D421" s="47" t="s">
        <v>669</v>
      </c>
      <c r="E421" s="127" t="s">
        <v>657</v>
      </c>
      <c r="F421" t="s">
        <v>576</v>
      </c>
      <c r="G421" t="s">
        <v>565</v>
      </c>
      <c r="H421" t="s">
        <v>577</v>
      </c>
      <c r="I421" t="s">
        <v>578</v>
      </c>
      <c r="J421" t="s">
        <v>579</v>
      </c>
      <c r="L421" s="125">
        <f t="shared" si="18"/>
        <v>44594</v>
      </c>
      <c r="M421" s="125">
        <v>44958</v>
      </c>
      <c r="N421" s="126">
        <f t="shared" si="16"/>
        <v>44958</v>
      </c>
      <c r="Q421" t="s">
        <v>566</v>
      </c>
      <c r="R421" t="s">
        <v>567</v>
      </c>
      <c r="S421" t="s">
        <v>667</v>
      </c>
      <c r="T421" t="s">
        <v>568</v>
      </c>
    </row>
    <row r="422" spans="1:20" ht="15.75" hidden="1" outlineLevel="1" x14ac:dyDescent="0.25">
      <c r="A422">
        <f t="shared" si="15"/>
        <v>373</v>
      </c>
      <c r="B422" t="s">
        <v>560</v>
      </c>
      <c r="C422" t="s">
        <v>561</v>
      </c>
      <c r="D422" s="47" t="s">
        <v>669</v>
      </c>
      <c r="E422" s="127" t="s">
        <v>658</v>
      </c>
      <c r="F422" t="s">
        <v>576</v>
      </c>
      <c r="G422" t="s">
        <v>565</v>
      </c>
      <c r="H422" t="s">
        <v>577</v>
      </c>
      <c r="I422" t="s">
        <v>578</v>
      </c>
      <c r="J422" t="s">
        <v>579</v>
      </c>
      <c r="L422" s="125">
        <f t="shared" si="18"/>
        <v>44603</v>
      </c>
      <c r="M422" s="125">
        <v>44967</v>
      </c>
      <c r="N422" s="126">
        <f t="shared" si="16"/>
        <v>44967</v>
      </c>
      <c r="Q422" t="s">
        <v>566</v>
      </c>
      <c r="R422" t="s">
        <v>567</v>
      </c>
      <c r="S422" t="s">
        <v>667</v>
      </c>
      <c r="T422" t="s">
        <v>568</v>
      </c>
    </row>
    <row r="423" spans="1:20" ht="15.75" hidden="1" outlineLevel="1" x14ac:dyDescent="0.25">
      <c r="A423">
        <f t="shared" si="15"/>
        <v>374</v>
      </c>
      <c r="B423" t="s">
        <v>560</v>
      </c>
      <c r="C423" t="s">
        <v>561</v>
      </c>
      <c r="D423" s="47" t="s">
        <v>669</v>
      </c>
      <c r="E423" s="127" t="s">
        <v>659</v>
      </c>
      <c r="F423" t="s">
        <v>576</v>
      </c>
      <c r="G423" t="s">
        <v>565</v>
      </c>
      <c r="H423" t="s">
        <v>577</v>
      </c>
      <c r="I423" t="s">
        <v>578</v>
      </c>
      <c r="J423" t="s">
        <v>579</v>
      </c>
      <c r="L423" s="125">
        <f t="shared" si="18"/>
        <v>44594</v>
      </c>
      <c r="M423" s="125">
        <v>44958</v>
      </c>
      <c r="N423" s="126">
        <f t="shared" si="16"/>
        <v>44958</v>
      </c>
      <c r="Q423" t="s">
        <v>566</v>
      </c>
      <c r="R423" t="s">
        <v>567</v>
      </c>
      <c r="S423" t="s">
        <v>667</v>
      </c>
      <c r="T423" t="s">
        <v>568</v>
      </c>
    </row>
    <row r="424" spans="1:20" ht="15.75" hidden="1" outlineLevel="1" x14ac:dyDescent="0.25">
      <c r="A424">
        <f t="shared" si="15"/>
        <v>375</v>
      </c>
      <c r="B424" t="s">
        <v>560</v>
      </c>
      <c r="C424" t="s">
        <v>561</v>
      </c>
      <c r="D424" s="47" t="s">
        <v>669</v>
      </c>
      <c r="E424" s="127" t="s">
        <v>660</v>
      </c>
      <c r="F424" t="s">
        <v>576</v>
      </c>
      <c r="G424" t="s">
        <v>565</v>
      </c>
      <c r="H424" t="s">
        <v>577</v>
      </c>
      <c r="I424" t="s">
        <v>578</v>
      </c>
      <c r="J424" t="s">
        <v>579</v>
      </c>
      <c r="L424" s="125">
        <f t="shared" si="18"/>
        <v>44603</v>
      </c>
      <c r="M424" s="125">
        <v>44967</v>
      </c>
      <c r="N424" s="126">
        <f t="shared" si="16"/>
        <v>44967</v>
      </c>
      <c r="Q424" t="s">
        <v>566</v>
      </c>
      <c r="R424" t="s">
        <v>567</v>
      </c>
      <c r="S424" t="s">
        <v>667</v>
      </c>
      <c r="T424" t="s">
        <v>568</v>
      </c>
    </row>
    <row r="425" spans="1:20" ht="15.75" hidden="1" outlineLevel="1" x14ac:dyDescent="0.25">
      <c r="A425">
        <f t="shared" si="15"/>
        <v>376</v>
      </c>
      <c r="B425" t="s">
        <v>560</v>
      </c>
      <c r="C425" t="s">
        <v>561</v>
      </c>
      <c r="D425" s="47" t="s">
        <v>669</v>
      </c>
      <c r="E425" s="127" t="s">
        <v>661</v>
      </c>
      <c r="F425" t="s">
        <v>576</v>
      </c>
      <c r="G425" t="s">
        <v>565</v>
      </c>
      <c r="H425" t="s">
        <v>577</v>
      </c>
      <c r="I425" t="s">
        <v>578</v>
      </c>
      <c r="J425" t="s">
        <v>579</v>
      </c>
      <c r="L425" s="125">
        <f t="shared" si="18"/>
        <v>44603</v>
      </c>
      <c r="M425" s="125">
        <v>44967</v>
      </c>
      <c r="N425" s="126">
        <f t="shared" si="16"/>
        <v>44967</v>
      </c>
      <c r="Q425" t="s">
        <v>566</v>
      </c>
      <c r="R425" t="s">
        <v>567</v>
      </c>
      <c r="S425" t="s">
        <v>667</v>
      </c>
      <c r="T425" t="s">
        <v>568</v>
      </c>
    </row>
    <row r="426" spans="1:20" ht="15.75" hidden="1" outlineLevel="1" x14ac:dyDescent="0.25">
      <c r="A426">
        <f t="shared" si="15"/>
        <v>377</v>
      </c>
      <c r="B426" t="s">
        <v>560</v>
      </c>
      <c r="C426" t="s">
        <v>561</v>
      </c>
      <c r="D426" s="47" t="s">
        <v>669</v>
      </c>
      <c r="E426" s="127" t="s">
        <v>662</v>
      </c>
      <c r="F426" t="s">
        <v>576</v>
      </c>
      <c r="G426" t="s">
        <v>565</v>
      </c>
      <c r="H426" t="s">
        <v>577</v>
      </c>
      <c r="I426" t="s">
        <v>578</v>
      </c>
      <c r="J426" t="s">
        <v>579</v>
      </c>
      <c r="L426" s="125">
        <f t="shared" si="18"/>
        <v>44603</v>
      </c>
      <c r="M426" s="125">
        <v>44967</v>
      </c>
      <c r="N426" s="126">
        <f t="shared" si="16"/>
        <v>44967</v>
      </c>
      <c r="Q426" t="s">
        <v>566</v>
      </c>
      <c r="R426" t="s">
        <v>567</v>
      </c>
      <c r="S426" t="s">
        <v>667</v>
      </c>
      <c r="T426" t="s">
        <v>568</v>
      </c>
    </row>
    <row r="427" spans="1:20" ht="15.75" hidden="1" outlineLevel="1" x14ac:dyDescent="0.25">
      <c r="A427">
        <f t="shared" si="15"/>
        <v>378</v>
      </c>
      <c r="B427" t="s">
        <v>560</v>
      </c>
      <c r="C427" t="s">
        <v>561</v>
      </c>
      <c r="D427" s="47" t="s">
        <v>669</v>
      </c>
      <c r="E427" s="127" t="s">
        <v>663</v>
      </c>
      <c r="F427" t="s">
        <v>576</v>
      </c>
      <c r="G427" t="s">
        <v>565</v>
      </c>
      <c r="H427" t="s">
        <v>577</v>
      </c>
      <c r="I427" t="s">
        <v>578</v>
      </c>
      <c r="J427" t="s">
        <v>579</v>
      </c>
      <c r="L427" s="125">
        <f t="shared" si="18"/>
        <v>44594</v>
      </c>
      <c r="M427" s="125">
        <v>44958</v>
      </c>
      <c r="N427" s="126">
        <f t="shared" si="16"/>
        <v>44958</v>
      </c>
      <c r="Q427" t="s">
        <v>566</v>
      </c>
      <c r="R427" t="s">
        <v>567</v>
      </c>
      <c r="S427" t="s">
        <v>667</v>
      </c>
      <c r="T427" t="s">
        <v>568</v>
      </c>
    </row>
    <row r="428" spans="1:20" ht="15.75" hidden="1" outlineLevel="1" x14ac:dyDescent="0.25">
      <c r="A428">
        <f t="shared" si="15"/>
        <v>379</v>
      </c>
      <c r="B428" t="s">
        <v>560</v>
      </c>
      <c r="C428" t="s">
        <v>561</v>
      </c>
      <c r="D428" s="47" t="s">
        <v>669</v>
      </c>
      <c r="E428" s="127" t="s">
        <v>664</v>
      </c>
      <c r="F428" t="s">
        <v>576</v>
      </c>
      <c r="G428" t="s">
        <v>565</v>
      </c>
      <c r="H428" t="s">
        <v>577</v>
      </c>
      <c r="I428" t="s">
        <v>578</v>
      </c>
      <c r="J428" t="s">
        <v>579</v>
      </c>
      <c r="L428" s="125">
        <f t="shared" si="18"/>
        <v>44485</v>
      </c>
      <c r="M428" s="125">
        <v>44849</v>
      </c>
      <c r="N428" s="126">
        <f t="shared" si="16"/>
        <v>44849</v>
      </c>
      <c r="Q428" t="s">
        <v>566</v>
      </c>
      <c r="R428" t="s">
        <v>567</v>
      </c>
      <c r="S428" t="s">
        <v>667</v>
      </c>
      <c r="T428" t="s">
        <v>568</v>
      </c>
    </row>
    <row r="429" spans="1:20" ht="15.75" hidden="1" outlineLevel="1" x14ac:dyDescent="0.25">
      <c r="A429">
        <f t="shared" si="15"/>
        <v>380</v>
      </c>
      <c r="B429" t="s">
        <v>560</v>
      </c>
      <c r="C429" t="s">
        <v>561</v>
      </c>
      <c r="D429" s="47" t="s">
        <v>669</v>
      </c>
      <c r="E429" s="127" t="s">
        <v>665</v>
      </c>
      <c r="F429" t="s">
        <v>576</v>
      </c>
      <c r="G429" t="s">
        <v>565</v>
      </c>
      <c r="H429" t="s">
        <v>577</v>
      </c>
      <c r="I429" t="s">
        <v>578</v>
      </c>
      <c r="J429" t="s">
        <v>579</v>
      </c>
      <c r="L429" s="125">
        <f t="shared" si="18"/>
        <v>44603</v>
      </c>
      <c r="M429" s="125">
        <v>44967</v>
      </c>
      <c r="N429" s="126">
        <f t="shared" si="16"/>
        <v>44967</v>
      </c>
      <c r="Q429" t="s">
        <v>566</v>
      </c>
      <c r="R429" t="s">
        <v>567</v>
      </c>
      <c r="S429" t="s">
        <v>667</v>
      </c>
      <c r="T429" t="s">
        <v>568</v>
      </c>
    </row>
    <row r="430" spans="1:20" ht="15.75" hidden="1" outlineLevel="1" x14ac:dyDescent="0.25">
      <c r="A430">
        <f t="shared" si="15"/>
        <v>381</v>
      </c>
      <c r="B430" t="s">
        <v>560</v>
      </c>
      <c r="C430" t="s">
        <v>561</v>
      </c>
      <c r="D430" s="47" t="s">
        <v>574</v>
      </c>
      <c r="E430" s="127" t="s">
        <v>671</v>
      </c>
      <c r="F430" t="s">
        <v>576</v>
      </c>
      <c r="G430" t="s">
        <v>565</v>
      </c>
      <c r="H430" t="s">
        <v>577</v>
      </c>
      <c r="I430" t="s">
        <v>578</v>
      </c>
      <c r="J430" t="s">
        <v>579</v>
      </c>
      <c r="L430" s="125">
        <v>44562</v>
      </c>
      <c r="M430" s="125">
        <v>44926</v>
      </c>
      <c r="N430" s="126">
        <f t="shared" si="16"/>
        <v>44926</v>
      </c>
      <c r="Q430" t="s">
        <v>566</v>
      </c>
      <c r="R430" t="s">
        <v>567</v>
      </c>
      <c r="S430" t="s">
        <v>667</v>
      </c>
      <c r="T430" t="s">
        <v>568</v>
      </c>
    </row>
    <row r="431" spans="1:20" ht="15.75" hidden="1" outlineLevel="1" x14ac:dyDescent="0.25">
      <c r="A431">
        <f t="shared" si="15"/>
        <v>382</v>
      </c>
      <c r="B431" t="s">
        <v>560</v>
      </c>
      <c r="C431" t="s">
        <v>561</v>
      </c>
      <c r="D431" s="47" t="s">
        <v>574</v>
      </c>
      <c r="E431" s="127" t="s">
        <v>672</v>
      </c>
      <c r="F431" t="s">
        <v>576</v>
      </c>
      <c r="G431" t="s">
        <v>565</v>
      </c>
      <c r="H431" t="s">
        <v>577</v>
      </c>
      <c r="I431" t="s">
        <v>578</v>
      </c>
      <c r="J431" t="s">
        <v>579</v>
      </c>
      <c r="L431" s="125">
        <v>44562</v>
      </c>
      <c r="M431" s="125">
        <v>44926</v>
      </c>
      <c r="N431" s="126">
        <f t="shared" si="16"/>
        <v>44926</v>
      </c>
      <c r="Q431" t="s">
        <v>566</v>
      </c>
      <c r="R431" t="s">
        <v>567</v>
      </c>
      <c r="S431" t="s">
        <v>667</v>
      </c>
      <c r="T431" t="s">
        <v>568</v>
      </c>
    </row>
    <row r="432" spans="1:20" ht="15.75" hidden="1" outlineLevel="1" x14ac:dyDescent="0.25">
      <c r="A432">
        <f t="shared" si="15"/>
        <v>383</v>
      </c>
      <c r="B432" t="s">
        <v>560</v>
      </c>
      <c r="C432" t="s">
        <v>561</v>
      </c>
      <c r="D432" s="47" t="s">
        <v>574</v>
      </c>
      <c r="E432" s="127" t="s">
        <v>673</v>
      </c>
      <c r="F432" t="s">
        <v>576</v>
      </c>
      <c r="G432" t="s">
        <v>565</v>
      </c>
      <c r="H432" t="s">
        <v>577</v>
      </c>
      <c r="I432" t="s">
        <v>578</v>
      </c>
      <c r="J432" t="s">
        <v>579</v>
      </c>
      <c r="L432" s="125">
        <v>44562</v>
      </c>
      <c r="M432" s="125">
        <v>44926</v>
      </c>
      <c r="N432" s="126">
        <f t="shared" si="16"/>
        <v>44926</v>
      </c>
      <c r="Q432" t="s">
        <v>566</v>
      </c>
      <c r="R432" t="s">
        <v>567</v>
      </c>
      <c r="S432" t="s">
        <v>667</v>
      </c>
      <c r="T432" t="s">
        <v>568</v>
      </c>
    </row>
    <row r="433" spans="1:21" ht="15.75" hidden="1" outlineLevel="1" x14ac:dyDescent="0.25">
      <c r="A433">
        <f t="shared" si="15"/>
        <v>384</v>
      </c>
      <c r="B433" t="s">
        <v>560</v>
      </c>
      <c r="C433" t="s">
        <v>561</v>
      </c>
      <c r="D433" s="47" t="s">
        <v>668</v>
      </c>
      <c r="E433" s="127" t="s">
        <v>671</v>
      </c>
      <c r="F433" t="s">
        <v>576</v>
      </c>
      <c r="G433" t="s">
        <v>565</v>
      </c>
      <c r="H433" t="s">
        <v>577</v>
      </c>
      <c r="I433" t="s">
        <v>578</v>
      </c>
      <c r="J433" t="s">
        <v>579</v>
      </c>
      <c r="L433" s="125">
        <v>44562</v>
      </c>
      <c r="M433" s="125">
        <v>44926</v>
      </c>
      <c r="N433" s="126">
        <f t="shared" si="16"/>
        <v>44926</v>
      </c>
      <c r="Q433" t="s">
        <v>566</v>
      </c>
      <c r="R433" t="s">
        <v>567</v>
      </c>
      <c r="S433" t="s">
        <v>667</v>
      </c>
      <c r="T433" t="s">
        <v>568</v>
      </c>
    </row>
    <row r="434" spans="1:21" ht="15.75" hidden="1" outlineLevel="1" x14ac:dyDescent="0.25">
      <c r="A434">
        <f t="shared" si="15"/>
        <v>385</v>
      </c>
      <c r="B434" t="s">
        <v>560</v>
      </c>
      <c r="C434" t="s">
        <v>561</v>
      </c>
      <c r="D434" s="47" t="s">
        <v>668</v>
      </c>
      <c r="E434" s="127" t="s">
        <v>672</v>
      </c>
      <c r="F434" t="s">
        <v>576</v>
      </c>
      <c r="G434" t="s">
        <v>565</v>
      </c>
      <c r="H434" t="s">
        <v>577</v>
      </c>
      <c r="I434" t="s">
        <v>578</v>
      </c>
      <c r="J434" t="s">
        <v>579</v>
      </c>
      <c r="L434" s="125">
        <v>44562</v>
      </c>
      <c r="M434" s="125">
        <v>44926</v>
      </c>
      <c r="N434" s="126">
        <f t="shared" si="16"/>
        <v>44926</v>
      </c>
      <c r="Q434" t="s">
        <v>566</v>
      </c>
      <c r="R434" t="s">
        <v>567</v>
      </c>
      <c r="S434" t="s">
        <v>667</v>
      </c>
      <c r="T434" t="s">
        <v>568</v>
      </c>
    </row>
    <row r="435" spans="1:21" ht="15.75" hidden="1" outlineLevel="1" x14ac:dyDescent="0.25">
      <c r="A435">
        <f t="shared" si="15"/>
        <v>386</v>
      </c>
      <c r="B435" t="s">
        <v>560</v>
      </c>
      <c r="C435" t="s">
        <v>561</v>
      </c>
      <c r="D435" s="47" t="s">
        <v>668</v>
      </c>
      <c r="E435" s="127" t="s">
        <v>673</v>
      </c>
      <c r="F435" t="s">
        <v>576</v>
      </c>
      <c r="G435" t="s">
        <v>565</v>
      </c>
      <c r="H435" t="s">
        <v>577</v>
      </c>
      <c r="I435" t="s">
        <v>578</v>
      </c>
      <c r="J435" t="s">
        <v>579</v>
      </c>
      <c r="L435" s="125">
        <v>44562</v>
      </c>
      <c r="M435" s="125">
        <v>44926</v>
      </c>
      <c r="N435" s="126">
        <f t="shared" si="16"/>
        <v>44926</v>
      </c>
      <c r="Q435" t="s">
        <v>566</v>
      </c>
      <c r="R435" t="s">
        <v>567</v>
      </c>
      <c r="S435" t="s">
        <v>667</v>
      </c>
      <c r="T435" t="s">
        <v>568</v>
      </c>
    </row>
    <row r="436" spans="1:21" s="114" customFormat="1" collapsed="1" x14ac:dyDescent="0.25">
      <c r="A436" s="118"/>
      <c r="B436" s="118" t="s">
        <v>317</v>
      </c>
      <c r="D436" s="115"/>
      <c r="E436" s="115"/>
    </row>
    <row r="437" spans="1:21" hidden="1" outlineLevel="1" x14ac:dyDescent="0.25">
      <c r="A437" s="52">
        <v>1</v>
      </c>
      <c r="B437" s="52"/>
      <c r="C437" s="52" t="s">
        <v>674</v>
      </c>
      <c r="D437" s="52" t="s">
        <v>500</v>
      </c>
      <c r="E437" s="52" t="s">
        <v>675</v>
      </c>
      <c r="F437" s="52" t="s">
        <v>100</v>
      </c>
      <c r="G437" s="52" t="s">
        <v>676</v>
      </c>
      <c r="H437" s="52" t="s">
        <v>677</v>
      </c>
      <c r="I437" s="52" t="s">
        <v>678</v>
      </c>
      <c r="J437" s="52" t="s">
        <v>679</v>
      </c>
      <c r="K437" s="52" t="s">
        <v>680</v>
      </c>
      <c r="L437" s="52" t="s">
        <v>202</v>
      </c>
      <c r="M437" s="52" t="s">
        <v>201</v>
      </c>
      <c r="N437" s="52" t="s">
        <v>201</v>
      </c>
      <c r="O437" s="52" t="s">
        <v>535</v>
      </c>
      <c r="P437" s="52" t="s">
        <v>535</v>
      </c>
      <c r="Q437" s="52" t="s">
        <v>535</v>
      </c>
      <c r="R437" s="52">
        <v>60</v>
      </c>
      <c r="S437" s="52">
        <v>50</v>
      </c>
      <c r="T437" s="52">
        <v>40</v>
      </c>
    </row>
    <row r="438" spans="1:21" hidden="1" outlineLevel="1" x14ac:dyDescent="0.25">
      <c r="A438" s="52">
        <f>A437+1</f>
        <v>2</v>
      </c>
      <c r="B438" s="52"/>
      <c r="C438" s="52" t="s">
        <v>674</v>
      </c>
      <c r="D438" s="52" t="s">
        <v>681</v>
      </c>
      <c r="E438" s="52" t="s">
        <v>533</v>
      </c>
      <c r="F438" s="52" t="s">
        <v>100</v>
      </c>
      <c r="G438" s="52" t="s">
        <v>676</v>
      </c>
      <c r="H438" s="52" t="s">
        <v>677</v>
      </c>
      <c r="I438" s="52" t="s">
        <v>678</v>
      </c>
      <c r="J438" s="52" t="s">
        <v>679</v>
      </c>
      <c r="K438" s="52" t="s">
        <v>682</v>
      </c>
      <c r="L438" s="52" t="s">
        <v>683</v>
      </c>
      <c r="M438" s="52" t="s">
        <v>117</v>
      </c>
      <c r="N438" s="52" t="s">
        <v>683</v>
      </c>
      <c r="O438" s="52" t="s">
        <v>535</v>
      </c>
      <c r="P438" s="52" t="s">
        <v>535</v>
      </c>
      <c r="Q438" s="52" t="s">
        <v>535</v>
      </c>
      <c r="R438" s="52">
        <v>30</v>
      </c>
      <c r="S438" s="52">
        <v>20</v>
      </c>
      <c r="T438" s="52">
        <v>10</v>
      </c>
    </row>
    <row r="439" spans="1:21" s="174" customFormat="1" hidden="1" outlineLevel="1" x14ac:dyDescent="0.25">
      <c r="A439" s="145">
        <v>1</v>
      </c>
      <c r="B439" s="145"/>
      <c r="C439" s="145" t="s">
        <v>860</v>
      </c>
      <c r="D439" s="171" t="s">
        <v>989</v>
      </c>
      <c r="E439" s="171" t="s">
        <v>990</v>
      </c>
      <c r="F439" s="145"/>
      <c r="G439" s="170"/>
      <c r="H439" s="170"/>
      <c r="I439" s="170"/>
      <c r="J439" s="170"/>
      <c r="K439" s="171" t="str">
        <f t="shared" ref="K439:K444" si="19">PROPER(F439)</f>
        <v/>
      </c>
      <c r="L439" s="172" t="s">
        <v>97</v>
      </c>
      <c r="M439" s="173" t="s">
        <v>96</v>
      </c>
      <c r="N439" s="170"/>
      <c r="O439" s="170"/>
      <c r="P439" s="145"/>
      <c r="Q439" s="145" t="s">
        <v>365</v>
      </c>
      <c r="R439" s="145"/>
      <c r="S439" s="170"/>
      <c r="T439" s="170"/>
      <c r="U439" s="171" t="s">
        <v>991</v>
      </c>
    </row>
    <row r="440" spans="1:21" s="174" customFormat="1" hidden="1" outlineLevel="1" x14ac:dyDescent="0.25">
      <c r="A440" s="145">
        <f>A439+1</f>
        <v>2</v>
      </c>
      <c r="B440" s="145"/>
      <c r="C440" s="145" t="s">
        <v>860</v>
      </c>
      <c r="D440" s="171" t="s">
        <v>989</v>
      </c>
      <c r="E440" s="171" t="s">
        <v>990</v>
      </c>
      <c r="F440" s="145"/>
      <c r="G440" s="170"/>
      <c r="H440" s="170"/>
      <c r="I440" s="170"/>
      <c r="J440" s="170"/>
      <c r="K440" s="171" t="str">
        <f t="shared" si="19"/>
        <v/>
      </c>
      <c r="L440" s="172" t="s">
        <v>93</v>
      </c>
      <c r="M440" s="173" t="s">
        <v>92</v>
      </c>
      <c r="N440" s="170"/>
      <c r="O440" s="170"/>
      <c r="P440" s="145"/>
      <c r="Q440" s="145" t="s">
        <v>365</v>
      </c>
      <c r="R440" s="145"/>
      <c r="S440" s="170"/>
      <c r="T440" s="170"/>
      <c r="U440" s="171" t="s">
        <v>992</v>
      </c>
    </row>
    <row r="441" spans="1:21" s="174" customFormat="1" hidden="1" outlineLevel="1" x14ac:dyDescent="0.25">
      <c r="A441" s="145">
        <f t="shared" ref="A441:A444" si="20">A440+1</f>
        <v>3</v>
      </c>
      <c r="B441" s="145"/>
      <c r="C441" s="145" t="s">
        <v>860</v>
      </c>
      <c r="D441" s="171" t="s">
        <v>989</v>
      </c>
      <c r="E441" s="171" t="s">
        <v>990</v>
      </c>
      <c r="F441" s="145"/>
      <c r="G441" s="170"/>
      <c r="H441" s="170"/>
      <c r="I441" s="170"/>
      <c r="J441" s="170"/>
      <c r="K441" s="171" t="str">
        <f t="shared" si="19"/>
        <v/>
      </c>
      <c r="L441" s="172" t="s">
        <v>87</v>
      </c>
      <c r="M441" s="173" t="s">
        <v>86</v>
      </c>
      <c r="N441" s="170"/>
      <c r="O441" s="170"/>
      <c r="P441" s="145"/>
      <c r="Q441" s="145" t="s">
        <v>365</v>
      </c>
      <c r="R441" s="145"/>
      <c r="S441" s="170"/>
      <c r="T441" s="170"/>
      <c r="U441" s="171" t="s">
        <v>993</v>
      </c>
    </row>
    <row r="442" spans="1:21" s="174" customFormat="1" hidden="1" outlineLevel="1" x14ac:dyDescent="0.25">
      <c r="A442" s="145">
        <f t="shared" si="20"/>
        <v>4</v>
      </c>
      <c r="B442" s="145"/>
      <c r="C442" s="145" t="s">
        <v>860</v>
      </c>
      <c r="D442" s="171" t="s">
        <v>994</v>
      </c>
      <c r="E442" s="171" t="s">
        <v>995</v>
      </c>
      <c r="F442" s="145"/>
      <c r="G442" s="170"/>
      <c r="H442" s="170"/>
      <c r="I442" s="170"/>
      <c r="J442" s="170"/>
      <c r="K442" s="171" t="str">
        <f t="shared" si="19"/>
        <v/>
      </c>
      <c r="L442" s="172" t="s">
        <v>83</v>
      </c>
      <c r="M442" s="173" t="s">
        <v>77</v>
      </c>
      <c r="N442" s="170"/>
      <c r="O442" s="170"/>
      <c r="P442" s="145"/>
      <c r="Q442" s="145" t="s">
        <v>365</v>
      </c>
      <c r="R442" s="145"/>
      <c r="S442" s="170"/>
      <c r="T442" s="170"/>
      <c r="U442" s="171" t="s">
        <v>996</v>
      </c>
    </row>
    <row r="443" spans="1:21" s="174" customFormat="1" hidden="1" outlineLevel="1" x14ac:dyDescent="0.25">
      <c r="A443" s="145">
        <f t="shared" si="20"/>
        <v>5</v>
      </c>
      <c r="B443" s="145"/>
      <c r="C443" s="145" t="s">
        <v>860</v>
      </c>
      <c r="D443" s="171" t="s">
        <v>994</v>
      </c>
      <c r="E443" s="171" t="s">
        <v>995</v>
      </c>
      <c r="F443" s="145"/>
      <c r="G443" s="170"/>
      <c r="H443" s="170"/>
      <c r="I443" s="170"/>
      <c r="J443" s="170"/>
      <c r="K443" s="171" t="str">
        <f t="shared" si="19"/>
        <v/>
      </c>
      <c r="L443" s="172" t="s">
        <v>78</v>
      </c>
      <c r="M443" s="173" t="s">
        <v>77</v>
      </c>
      <c r="N443" s="170"/>
      <c r="O443" s="170"/>
      <c r="P443" s="145"/>
      <c r="Q443" s="145" t="s">
        <v>365</v>
      </c>
      <c r="R443" s="145"/>
      <c r="S443" s="170"/>
      <c r="T443" s="170"/>
      <c r="U443" s="171" t="s">
        <v>997</v>
      </c>
    </row>
    <row r="444" spans="1:21" s="174" customFormat="1" hidden="1" outlineLevel="1" x14ac:dyDescent="0.25">
      <c r="A444" s="145">
        <f t="shared" si="20"/>
        <v>6</v>
      </c>
      <c r="B444" s="145"/>
      <c r="C444" s="145" t="s">
        <v>860</v>
      </c>
      <c r="D444" s="171" t="s">
        <v>998</v>
      </c>
      <c r="E444" s="171" t="s">
        <v>999</v>
      </c>
      <c r="F444" s="145"/>
      <c r="G444" s="170"/>
      <c r="H444" s="170"/>
      <c r="I444" s="170"/>
      <c r="J444" s="170"/>
      <c r="K444" s="171" t="str">
        <f t="shared" si="19"/>
        <v/>
      </c>
      <c r="L444" s="172" t="s">
        <v>73</v>
      </c>
      <c r="M444" s="173" t="s">
        <v>72</v>
      </c>
      <c r="N444" s="170"/>
      <c r="O444" s="170"/>
      <c r="P444" s="145"/>
      <c r="Q444" s="145" t="s">
        <v>857</v>
      </c>
      <c r="R444" s="145"/>
      <c r="S444" s="170"/>
      <c r="T444" s="170"/>
      <c r="U444" s="171" t="s">
        <v>1000</v>
      </c>
    </row>
    <row r="445" spans="1:21" hidden="1" outlineLevel="1" x14ac:dyDescent="0.25">
      <c r="D445"/>
      <c r="E445"/>
    </row>
    <row r="446" spans="1:21" s="114" customFormat="1" collapsed="1" x14ac:dyDescent="0.25">
      <c r="A446" s="118">
        <v>2</v>
      </c>
      <c r="B446" s="118" t="s">
        <v>684</v>
      </c>
      <c r="D446" s="115"/>
      <c r="E446" s="115"/>
    </row>
    <row r="447" spans="1:21" ht="18.75" outlineLevel="1" x14ac:dyDescent="0.3">
      <c r="A447" s="52">
        <v>1</v>
      </c>
      <c r="B447" s="52"/>
      <c r="C447" s="47" t="s">
        <v>688</v>
      </c>
      <c r="D447" s="109" t="s">
        <v>689</v>
      </c>
      <c r="E447" s="109" t="s">
        <v>1035</v>
      </c>
      <c r="F447" s="52" t="s">
        <v>690</v>
      </c>
      <c r="G447" s="47">
        <v>1</v>
      </c>
      <c r="H447" s="47" t="s">
        <v>691</v>
      </c>
      <c r="I447" s="47" t="s">
        <v>692</v>
      </c>
      <c r="J447" s="130" t="s">
        <v>693</v>
      </c>
      <c r="K447" s="47"/>
      <c r="L447" s="47"/>
      <c r="M447" s="47"/>
      <c r="N447" s="47"/>
      <c r="O447" s="47"/>
      <c r="P447" s="47"/>
      <c r="Q447" s="47" t="s">
        <v>694</v>
      </c>
      <c r="R447" s="47"/>
      <c r="S447" s="47"/>
      <c r="T447" s="131" t="s">
        <v>695</v>
      </c>
    </row>
    <row r="448" spans="1:21" ht="18.75" outlineLevel="1" x14ac:dyDescent="0.3">
      <c r="A448" s="52">
        <f>A447+1</f>
        <v>2</v>
      </c>
      <c r="B448" s="52"/>
      <c r="C448" s="47" t="s">
        <v>688</v>
      </c>
      <c r="D448" s="109" t="s">
        <v>696</v>
      </c>
      <c r="E448" s="109" t="s">
        <v>697</v>
      </c>
      <c r="F448" s="52" t="s">
        <v>690</v>
      </c>
      <c r="G448" s="47">
        <v>4</v>
      </c>
      <c r="H448" s="47" t="s">
        <v>691</v>
      </c>
      <c r="I448" s="47" t="s">
        <v>692</v>
      </c>
      <c r="J448" s="130" t="s">
        <v>693</v>
      </c>
      <c r="K448" s="47"/>
      <c r="L448" s="47"/>
      <c r="M448" s="47"/>
      <c r="N448" s="47"/>
      <c r="O448" s="47"/>
      <c r="P448" s="47"/>
      <c r="Q448" s="47" t="s">
        <v>694</v>
      </c>
      <c r="R448" s="47"/>
      <c r="S448" s="131" t="s">
        <v>695</v>
      </c>
      <c r="T448" s="52"/>
    </row>
    <row r="449" spans="1:20" ht="18.75" outlineLevel="1" x14ac:dyDescent="0.3">
      <c r="A449" s="52"/>
      <c r="B449" s="52"/>
      <c r="C449" s="47"/>
      <c r="D449" s="109"/>
      <c r="E449" s="109" t="s">
        <v>1039</v>
      </c>
      <c r="F449" s="52"/>
      <c r="G449" s="47"/>
      <c r="H449" s="47"/>
      <c r="I449" s="47"/>
      <c r="J449" s="130"/>
      <c r="K449" s="47"/>
      <c r="L449" s="47"/>
      <c r="M449" s="47"/>
      <c r="N449" s="47"/>
      <c r="O449" s="47"/>
      <c r="P449" s="47"/>
      <c r="Q449" s="47"/>
      <c r="R449" s="47"/>
      <c r="S449" s="131"/>
      <c r="T449" s="52"/>
    </row>
    <row r="450" spans="1:20" ht="18.75" outlineLevel="1" x14ac:dyDescent="0.3">
      <c r="A450" s="52">
        <f>A448+1</f>
        <v>3</v>
      </c>
      <c r="B450" s="52"/>
      <c r="C450" s="47" t="s">
        <v>688</v>
      </c>
      <c r="D450" s="48" t="s">
        <v>696</v>
      </c>
      <c r="E450" s="49" t="s">
        <v>1037</v>
      </c>
      <c r="F450" s="52" t="s">
        <v>690</v>
      </c>
      <c r="G450" s="47">
        <v>1</v>
      </c>
      <c r="H450" s="47" t="s">
        <v>691</v>
      </c>
      <c r="I450" s="47" t="s">
        <v>692</v>
      </c>
      <c r="J450" s="130" t="s">
        <v>693</v>
      </c>
      <c r="K450" s="47"/>
      <c r="L450" s="47">
        <v>2022</v>
      </c>
      <c r="M450" s="47">
        <v>2023</v>
      </c>
      <c r="N450" s="47"/>
      <c r="O450" s="47"/>
      <c r="P450" s="47"/>
      <c r="Q450" s="47" t="s">
        <v>698</v>
      </c>
      <c r="R450" s="47"/>
      <c r="S450" s="131" t="s">
        <v>695</v>
      </c>
      <c r="T450" s="52"/>
    </row>
    <row r="451" spans="1:20" ht="18.75" outlineLevel="1" x14ac:dyDescent="0.3">
      <c r="A451" s="52"/>
      <c r="B451" s="52"/>
      <c r="C451" s="47"/>
      <c r="D451" s="48"/>
      <c r="E451" s="49" t="s">
        <v>1038</v>
      </c>
      <c r="F451" s="52"/>
      <c r="G451" s="47"/>
      <c r="H451" s="47"/>
      <c r="I451" s="47"/>
      <c r="J451" s="130"/>
      <c r="K451" s="47"/>
      <c r="L451" s="47"/>
      <c r="M451" s="47"/>
      <c r="N451" s="47"/>
      <c r="O451" s="47"/>
      <c r="P451" s="47"/>
      <c r="Q451" s="47"/>
      <c r="R451" s="47"/>
      <c r="S451" s="131"/>
      <c r="T451" s="52"/>
    </row>
    <row r="452" spans="1:20" ht="18.75" outlineLevel="1" x14ac:dyDescent="0.3">
      <c r="A452" s="52"/>
      <c r="B452" s="52"/>
      <c r="C452" s="47"/>
      <c r="D452" s="48" t="s">
        <v>696</v>
      </c>
      <c r="E452" s="49" t="s">
        <v>1036</v>
      </c>
      <c r="F452" s="52"/>
      <c r="G452" s="47"/>
      <c r="H452" s="47"/>
      <c r="I452" s="47"/>
      <c r="J452" s="130"/>
      <c r="K452" s="47"/>
      <c r="L452" s="47"/>
      <c r="M452" s="47"/>
      <c r="N452" s="47"/>
      <c r="O452" s="47"/>
      <c r="P452" s="47"/>
      <c r="Q452" s="47"/>
      <c r="R452" s="47"/>
      <c r="S452" s="131"/>
      <c r="T452" s="52"/>
    </row>
    <row r="453" spans="1:20" ht="18.75" outlineLevel="1" x14ac:dyDescent="0.3">
      <c r="A453" s="52">
        <f>A450+1</f>
        <v>4</v>
      </c>
      <c r="B453" s="52"/>
      <c r="C453" s="47" t="s">
        <v>688</v>
      </c>
      <c r="D453" s="109" t="s">
        <v>699</v>
      </c>
      <c r="E453" s="48" t="s">
        <v>700</v>
      </c>
      <c r="F453" s="52" t="s">
        <v>701</v>
      </c>
      <c r="G453" s="47">
        <v>1</v>
      </c>
      <c r="H453" s="47" t="s">
        <v>691</v>
      </c>
      <c r="I453" s="47" t="s">
        <v>692</v>
      </c>
      <c r="J453" s="132" t="s">
        <v>702</v>
      </c>
      <c r="K453" s="47"/>
      <c r="L453" s="47"/>
      <c r="M453" s="47"/>
      <c r="N453" s="47"/>
      <c r="O453" s="47"/>
      <c r="P453" s="47"/>
      <c r="Q453" s="47" t="s">
        <v>698</v>
      </c>
      <c r="R453" s="47"/>
      <c r="S453" s="131" t="s">
        <v>695</v>
      </c>
      <c r="T453" s="52"/>
    </row>
    <row r="454" spans="1:20" ht="18.75" outlineLevel="1" x14ac:dyDescent="0.3">
      <c r="A454" s="52">
        <f t="shared" ref="A454:A457" si="21">A453+1</f>
        <v>5</v>
      </c>
      <c r="B454" s="52"/>
      <c r="C454" s="47" t="s">
        <v>688</v>
      </c>
      <c r="D454" s="109" t="s">
        <v>696</v>
      </c>
      <c r="E454" s="48" t="s">
        <v>703</v>
      </c>
      <c r="F454" s="52" t="s">
        <v>701</v>
      </c>
      <c r="G454" s="47">
        <v>1</v>
      </c>
      <c r="H454" s="47" t="s">
        <v>691</v>
      </c>
      <c r="I454" s="47" t="s">
        <v>692</v>
      </c>
      <c r="J454" s="132" t="s">
        <v>704</v>
      </c>
      <c r="K454" s="47"/>
      <c r="L454" s="47"/>
      <c r="M454" s="47"/>
      <c r="N454" s="47"/>
      <c r="O454" s="47"/>
      <c r="P454" s="47"/>
      <c r="Q454" s="47" t="s">
        <v>698</v>
      </c>
      <c r="R454" s="47"/>
      <c r="S454" s="131" t="s">
        <v>695</v>
      </c>
      <c r="T454" s="52"/>
    </row>
    <row r="455" spans="1:20" ht="18.75" outlineLevel="1" x14ac:dyDescent="0.3">
      <c r="A455" s="52">
        <f t="shared" si="21"/>
        <v>6</v>
      </c>
      <c r="B455" s="52"/>
      <c r="C455" s="47" t="s">
        <v>688</v>
      </c>
      <c r="D455" s="318" t="s">
        <v>696</v>
      </c>
      <c r="E455" s="133" t="s">
        <v>705</v>
      </c>
      <c r="F455" s="52" t="s">
        <v>100</v>
      </c>
      <c r="G455" s="47">
        <v>1</v>
      </c>
      <c r="H455" s="47" t="s">
        <v>691</v>
      </c>
      <c r="I455" s="47" t="s">
        <v>692</v>
      </c>
      <c r="J455" s="132" t="s">
        <v>706</v>
      </c>
      <c r="K455" s="134">
        <v>40322</v>
      </c>
      <c r="L455" s="47">
        <v>2020</v>
      </c>
      <c r="M455" s="47">
        <v>2030</v>
      </c>
      <c r="N455" s="47">
        <v>2030</v>
      </c>
      <c r="O455" s="47"/>
      <c r="P455" s="47"/>
      <c r="Q455" s="47" t="s">
        <v>707</v>
      </c>
      <c r="R455" s="131" t="s">
        <v>695</v>
      </c>
      <c r="S455" s="47"/>
      <c r="T455" s="52"/>
    </row>
    <row r="456" spans="1:20" ht="18.75" outlineLevel="1" x14ac:dyDescent="0.3">
      <c r="A456" s="52">
        <f t="shared" si="21"/>
        <v>7</v>
      </c>
      <c r="B456" s="52"/>
      <c r="C456" s="47" t="s">
        <v>688</v>
      </c>
      <c r="D456" s="319"/>
      <c r="E456" s="133" t="s">
        <v>708</v>
      </c>
      <c r="F456" s="52" t="s">
        <v>100</v>
      </c>
      <c r="G456" s="47">
        <v>1</v>
      </c>
      <c r="H456" s="47" t="s">
        <v>691</v>
      </c>
      <c r="I456" s="47" t="s">
        <v>692</v>
      </c>
      <c r="J456" s="132" t="s">
        <v>706</v>
      </c>
      <c r="K456" s="134">
        <v>41670</v>
      </c>
      <c r="L456" s="47">
        <v>2014</v>
      </c>
      <c r="M456" s="47">
        <v>2024</v>
      </c>
      <c r="N456" s="47">
        <v>2024</v>
      </c>
      <c r="O456" s="47"/>
      <c r="P456" s="47"/>
      <c r="Q456" s="47"/>
      <c r="R456" s="131" t="s">
        <v>695</v>
      </c>
      <c r="S456" s="47"/>
      <c r="T456" s="52"/>
    </row>
    <row r="457" spans="1:20" ht="18.75" outlineLevel="1" x14ac:dyDescent="0.3">
      <c r="A457" s="52">
        <f t="shared" si="21"/>
        <v>8</v>
      </c>
      <c r="B457" s="52"/>
      <c r="C457" s="47" t="s">
        <v>688</v>
      </c>
      <c r="D457" s="319"/>
      <c r="E457" s="133" t="s">
        <v>709</v>
      </c>
      <c r="F457" s="52" t="s">
        <v>100</v>
      </c>
      <c r="G457" s="47">
        <v>1</v>
      </c>
      <c r="H457" s="47" t="s">
        <v>691</v>
      </c>
      <c r="I457" s="47" t="s">
        <v>692</v>
      </c>
      <c r="J457" s="132" t="s">
        <v>706</v>
      </c>
      <c r="K457" s="47"/>
      <c r="L457" s="47">
        <v>2015</v>
      </c>
      <c r="M457" s="47">
        <v>2025</v>
      </c>
      <c r="N457" s="47">
        <v>2025</v>
      </c>
      <c r="O457" s="47"/>
      <c r="P457" s="47"/>
      <c r="Q457" s="47"/>
      <c r="R457" s="131" t="s">
        <v>695</v>
      </c>
      <c r="S457" s="47"/>
      <c r="T457" s="52"/>
    </row>
    <row r="458" spans="1:20" ht="18.75" outlineLevel="1" x14ac:dyDescent="0.3">
      <c r="A458" s="52">
        <f>A457+1</f>
        <v>9</v>
      </c>
      <c r="B458" s="52"/>
      <c r="C458" s="47" t="s">
        <v>688</v>
      </c>
      <c r="D458" s="109" t="s">
        <v>689</v>
      </c>
      <c r="E458" s="48" t="s">
        <v>1040</v>
      </c>
      <c r="F458" s="52" t="s">
        <v>710</v>
      </c>
      <c r="G458" s="47">
        <v>1</v>
      </c>
      <c r="H458" s="47" t="s">
        <v>691</v>
      </c>
      <c r="I458" s="47" t="s">
        <v>692</v>
      </c>
      <c r="J458" s="132" t="s">
        <v>706</v>
      </c>
      <c r="K458" s="47">
        <v>2020</v>
      </c>
      <c r="L458" s="47">
        <v>2020</v>
      </c>
      <c r="M458" s="47">
        <v>2023</v>
      </c>
      <c r="N458" s="47">
        <v>2023</v>
      </c>
      <c r="O458" s="47"/>
      <c r="P458" s="47"/>
      <c r="Q458" s="47"/>
      <c r="R458" s="131" t="s">
        <v>695</v>
      </c>
      <c r="S458" s="47"/>
      <c r="T458" s="52"/>
    </row>
    <row r="459" spans="1:20" ht="18.75" outlineLevel="1" x14ac:dyDescent="0.3">
      <c r="A459" s="52">
        <f>A457+1</f>
        <v>9</v>
      </c>
      <c r="B459" s="52"/>
      <c r="C459" s="47" t="s">
        <v>688</v>
      </c>
      <c r="D459" s="109" t="s">
        <v>689</v>
      </c>
      <c r="E459" s="48" t="s">
        <v>1041</v>
      </c>
      <c r="F459" s="52" t="s">
        <v>710</v>
      </c>
      <c r="G459" s="47">
        <v>1</v>
      </c>
      <c r="H459" s="47" t="s">
        <v>691</v>
      </c>
      <c r="I459" s="47" t="s">
        <v>692</v>
      </c>
      <c r="J459" s="132" t="s">
        <v>706</v>
      </c>
      <c r="K459" s="47">
        <v>2020</v>
      </c>
      <c r="L459" s="47">
        <v>2020</v>
      </c>
      <c r="M459" s="47">
        <v>2023</v>
      </c>
      <c r="N459" s="47">
        <v>2023</v>
      </c>
      <c r="O459" s="58"/>
      <c r="P459" s="58"/>
      <c r="Q459" s="58"/>
      <c r="R459" s="179"/>
      <c r="S459" s="58"/>
    </row>
    <row r="460" spans="1:20" ht="18.75" outlineLevel="1" x14ac:dyDescent="0.3">
      <c r="A460" s="52">
        <f>A458+1</f>
        <v>10</v>
      </c>
      <c r="B460" s="52"/>
      <c r="C460" s="47" t="s">
        <v>688</v>
      </c>
      <c r="D460" s="109" t="s">
        <v>689</v>
      </c>
      <c r="E460" s="48" t="s">
        <v>1042</v>
      </c>
      <c r="F460" s="52" t="s">
        <v>710</v>
      </c>
      <c r="G460" s="47">
        <v>1</v>
      </c>
      <c r="H460" s="47" t="s">
        <v>691</v>
      </c>
      <c r="I460" s="47" t="s">
        <v>692</v>
      </c>
      <c r="J460" s="132" t="s">
        <v>706</v>
      </c>
      <c r="K460" s="47">
        <v>2020</v>
      </c>
      <c r="L460" s="47">
        <v>2020</v>
      </c>
      <c r="M460" s="47">
        <v>2023</v>
      </c>
      <c r="N460" s="47">
        <v>2023</v>
      </c>
      <c r="O460" s="58"/>
      <c r="P460" s="58"/>
      <c r="Q460" s="58"/>
      <c r="R460" s="179"/>
      <c r="S460" s="58"/>
    </row>
    <row r="461" spans="1:20" s="114" customFormat="1" x14ac:dyDescent="0.25">
      <c r="A461" s="118">
        <v>9</v>
      </c>
      <c r="B461" s="118" t="s">
        <v>685</v>
      </c>
      <c r="D461" s="115"/>
      <c r="E461" s="115"/>
    </row>
    <row r="462" spans="1:20" hidden="1" outlineLevel="1" x14ac:dyDescent="0.25">
      <c r="A462">
        <v>1</v>
      </c>
      <c r="B462" t="s">
        <v>711</v>
      </c>
      <c r="C462" t="s">
        <v>712</v>
      </c>
      <c r="D462" t="s">
        <v>713</v>
      </c>
      <c r="E462" t="s">
        <v>714</v>
      </c>
      <c r="F462" t="s">
        <v>715</v>
      </c>
      <c r="G462" t="s">
        <v>0</v>
      </c>
      <c r="H462" t="s">
        <v>716</v>
      </c>
      <c r="I462" t="s">
        <v>716</v>
      </c>
      <c r="J462" t="s">
        <v>717</v>
      </c>
      <c r="K462" s="126">
        <v>44613</v>
      </c>
      <c r="L462" s="126">
        <v>44579</v>
      </c>
      <c r="M462" s="126">
        <v>44943</v>
      </c>
      <c r="N462" s="126">
        <v>44943</v>
      </c>
      <c r="Q462" t="s">
        <v>718</v>
      </c>
      <c r="R462" t="s">
        <v>467</v>
      </c>
      <c r="S462" t="s">
        <v>468</v>
      </c>
      <c r="T462" t="s">
        <v>469</v>
      </c>
    </row>
    <row r="463" spans="1:20" ht="45" hidden="1" outlineLevel="1" x14ac:dyDescent="0.25">
      <c r="A463">
        <f>A462+1</f>
        <v>2</v>
      </c>
      <c r="B463" t="s">
        <v>711</v>
      </c>
      <c r="C463" t="s">
        <v>712</v>
      </c>
      <c r="D463" s="135" t="s">
        <v>719</v>
      </c>
      <c r="E463" s="135" t="s">
        <v>720</v>
      </c>
      <c r="F463" t="s">
        <v>721</v>
      </c>
      <c r="G463" s="135" t="s">
        <v>722</v>
      </c>
      <c r="H463" t="s">
        <v>716</v>
      </c>
      <c r="I463" t="s">
        <v>716</v>
      </c>
      <c r="J463" t="s">
        <v>717</v>
      </c>
      <c r="K463" s="126">
        <v>44295</v>
      </c>
      <c r="L463" s="126">
        <v>44295</v>
      </c>
      <c r="M463" t="s">
        <v>723</v>
      </c>
      <c r="N463" s="135" t="s">
        <v>724</v>
      </c>
      <c r="Q463" t="s">
        <v>718</v>
      </c>
    </row>
    <row r="464" spans="1:20" ht="30" hidden="1" outlineLevel="1" x14ac:dyDescent="0.25">
      <c r="A464">
        <f t="shared" ref="A464:A468" si="22">A463+1</f>
        <v>3</v>
      </c>
      <c r="B464" t="s">
        <v>711</v>
      </c>
      <c r="C464" t="s">
        <v>712</v>
      </c>
      <c r="D464" s="135" t="s">
        <v>719</v>
      </c>
      <c r="E464" t="s">
        <v>725</v>
      </c>
      <c r="F464" t="s">
        <v>721</v>
      </c>
      <c r="G464" t="s">
        <v>0</v>
      </c>
      <c r="H464" t="s">
        <v>716</v>
      </c>
      <c r="I464" t="s">
        <v>716</v>
      </c>
      <c r="J464" t="s">
        <v>717</v>
      </c>
      <c r="K464" s="126">
        <v>44576</v>
      </c>
      <c r="L464" s="126">
        <v>44576</v>
      </c>
      <c r="M464" s="126">
        <v>45000</v>
      </c>
      <c r="N464" s="126">
        <v>45000</v>
      </c>
      <c r="Q464" t="s">
        <v>718</v>
      </c>
    </row>
    <row r="465" spans="1:17" ht="30" hidden="1" outlineLevel="1" x14ac:dyDescent="0.25">
      <c r="A465">
        <f t="shared" si="22"/>
        <v>4</v>
      </c>
      <c r="B465" t="s">
        <v>711</v>
      </c>
      <c r="C465" t="s">
        <v>712</v>
      </c>
      <c r="D465" s="136" t="s">
        <v>726</v>
      </c>
      <c r="E465" s="136" t="s">
        <v>727</v>
      </c>
      <c r="F465" t="s">
        <v>721</v>
      </c>
      <c r="G465" t="s">
        <v>0</v>
      </c>
      <c r="H465" t="s">
        <v>716</v>
      </c>
      <c r="I465" t="s">
        <v>716</v>
      </c>
      <c r="J465" t="s">
        <v>717</v>
      </c>
      <c r="K465" s="126">
        <v>44581</v>
      </c>
      <c r="L465" s="126">
        <v>44581</v>
      </c>
      <c r="M465" s="126">
        <v>44946</v>
      </c>
      <c r="N465" s="126">
        <v>44927</v>
      </c>
      <c r="Q465" t="s">
        <v>718</v>
      </c>
    </row>
    <row r="466" spans="1:17" ht="75" hidden="1" outlineLevel="1" x14ac:dyDescent="0.25">
      <c r="A466">
        <f t="shared" si="22"/>
        <v>5</v>
      </c>
      <c r="B466" t="s">
        <v>728</v>
      </c>
      <c r="C466" t="s">
        <v>712</v>
      </c>
      <c r="D466" s="136" t="s">
        <v>729</v>
      </c>
      <c r="E466" s="136" t="s">
        <v>730</v>
      </c>
      <c r="F466" t="s">
        <v>721</v>
      </c>
      <c r="G466" s="135" t="s">
        <v>722</v>
      </c>
      <c r="H466" t="s">
        <v>717</v>
      </c>
      <c r="I466" t="s">
        <v>717</v>
      </c>
      <c r="J466" t="s">
        <v>717</v>
      </c>
      <c r="K466" s="126">
        <v>40191</v>
      </c>
      <c r="L466" s="126">
        <v>40191</v>
      </c>
      <c r="M466" t="s">
        <v>723</v>
      </c>
      <c r="N466" s="135" t="s">
        <v>731</v>
      </c>
      <c r="Q466" t="s">
        <v>718</v>
      </c>
    </row>
    <row r="467" spans="1:17" ht="75" hidden="1" outlineLevel="1" x14ac:dyDescent="0.25">
      <c r="A467">
        <f t="shared" si="22"/>
        <v>6</v>
      </c>
      <c r="B467" t="s">
        <v>728</v>
      </c>
      <c r="C467" t="s">
        <v>712</v>
      </c>
      <c r="D467" s="136" t="s">
        <v>729</v>
      </c>
      <c r="E467" s="136" t="s">
        <v>732</v>
      </c>
      <c r="F467" t="s">
        <v>721</v>
      </c>
      <c r="G467" s="135" t="s">
        <v>722</v>
      </c>
      <c r="H467" t="s">
        <v>717</v>
      </c>
      <c r="I467" t="s">
        <v>717</v>
      </c>
      <c r="J467" t="s">
        <v>717</v>
      </c>
      <c r="K467" s="126">
        <v>40875</v>
      </c>
      <c r="L467" s="126">
        <v>40875</v>
      </c>
      <c r="M467" t="s">
        <v>723</v>
      </c>
      <c r="N467" s="135" t="s">
        <v>731</v>
      </c>
      <c r="Q467" t="s">
        <v>718</v>
      </c>
    </row>
    <row r="468" spans="1:17" ht="75" hidden="1" outlineLevel="1" x14ac:dyDescent="0.25">
      <c r="A468">
        <f t="shared" si="22"/>
        <v>7</v>
      </c>
      <c r="B468" t="s">
        <v>728</v>
      </c>
      <c r="C468" t="s">
        <v>712</v>
      </c>
      <c r="D468" s="136" t="s">
        <v>729</v>
      </c>
      <c r="E468" s="136" t="s">
        <v>733</v>
      </c>
      <c r="F468" t="s">
        <v>721</v>
      </c>
      <c r="G468" s="135" t="s">
        <v>722</v>
      </c>
      <c r="H468" t="s">
        <v>734</v>
      </c>
      <c r="I468" t="s">
        <v>734</v>
      </c>
      <c r="J468" t="s">
        <v>717</v>
      </c>
      <c r="K468" s="137">
        <v>41142</v>
      </c>
      <c r="L468" s="137">
        <v>41142</v>
      </c>
      <c r="M468" t="s">
        <v>723</v>
      </c>
      <c r="N468" s="135" t="s">
        <v>731</v>
      </c>
      <c r="Q468" t="s">
        <v>718</v>
      </c>
    </row>
    <row r="469" spans="1:17" s="114" customFormat="1" collapsed="1" x14ac:dyDescent="0.25">
      <c r="A469" s="118">
        <v>7</v>
      </c>
      <c r="B469" s="118" t="s">
        <v>1008</v>
      </c>
      <c r="D469" s="115"/>
      <c r="E469" s="115"/>
    </row>
    <row r="470" spans="1:17" ht="45" hidden="1" outlineLevel="1" x14ac:dyDescent="0.25">
      <c r="A470">
        <v>1</v>
      </c>
      <c r="B470" t="s">
        <v>266</v>
      </c>
      <c r="D470" t="s">
        <v>735</v>
      </c>
      <c r="E470" s="135" t="s">
        <v>736</v>
      </c>
      <c r="F470" t="s">
        <v>721</v>
      </c>
      <c r="G470" t="s">
        <v>737</v>
      </c>
      <c r="H470" t="s">
        <v>738</v>
      </c>
      <c r="I470" t="s">
        <v>739</v>
      </c>
      <c r="J470" t="s">
        <v>717</v>
      </c>
    </row>
    <row r="471" spans="1:17" ht="60" hidden="1" outlineLevel="1" x14ac:dyDescent="0.25">
      <c r="A471">
        <f>A470+1</f>
        <v>2</v>
      </c>
      <c r="B471" t="s">
        <v>266</v>
      </c>
      <c r="D471" t="s">
        <v>740</v>
      </c>
      <c r="E471" s="135" t="s">
        <v>741</v>
      </c>
      <c r="F471" t="s">
        <v>721</v>
      </c>
      <c r="G471" t="s">
        <v>737</v>
      </c>
      <c r="H471" t="s">
        <v>738</v>
      </c>
      <c r="I471" t="s">
        <v>739</v>
      </c>
      <c r="J471" t="s">
        <v>717</v>
      </c>
    </row>
    <row r="472" spans="1:17" ht="30" hidden="1" outlineLevel="1" x14ac:dyDescent="0.25">
      <c r="A472">
        <f>A471+1</f>
        <v>3</v>
      </c>
      <c r="B472" t="s">
        <v>266</v>
      </c>
      <c r="D472" t="s">
        <v>742</v>
      </c>
      <c r="E472" s="135" t="s">
        <v>743</v>
      </c>
      <c r="F472" t="s">
        <v>721</v>
      </c>
      <c r="G472" t="s">
        <v>737</v>
      </c>
      <c r="H472" t="s">
        <v>738</v>
      </c>
      <c r="I472" t="s">
        <v>739</v>
      </c>
      <c r="J472" t="s">
        <v>717</v>
      </c>
    </row>
    <row r="473" spans="1:17" ht="30" hidden="1" outlineLevel="1" x14ac:dyDescent="0.25">
      <c r="A473">
        <f>A472+1</f>
        <v>4</v>
      </c>
      <c r="B473" t="s">
        <v>266</v>
      </c>
      <c r="D473" s="135" t="s">
        <v>744</v>
      </c>
      <c r="E473" s="135" t="s">
        <v>745</v>
      </c>
      <c r="F473" t="s">
        <v>721</v>
      </c>
      <c r="G473" t="s">
        <v>737</v>
      </c>
      <c r="H473" t="s">
        <v>738</v>
      </c>
      <c r="I473" t="s">
        <v>739</v>
      </c>
      <c r="J473" t="s">
        <v>717</v>
      </c>
    </row>
    <row r="474" spans="1:17" hidden="1" outlineLevel="1" x14ac:dyDescent="0.25">
      <c r="A474" s="174">
        <v>5</v>
      </c>
      <c r="B474" s="174" t="s">
        <v>266</v>
      </c>
      <c r="C474" s="174"/>
      <c r="D474" s="174" t="s">
        <v>1009</v>
      </c>
      <c r="E474" s="175" t="s">
        <v>1010</v>
      </c>
    </row>
    <row r="475" spans="1:17" hidden="1" outlineLevel="1" x14ac:dyDescent="0.25">
      <c r="D475"/>
      <c r="E475"/>
    </row>
    <row r="476" spans="1:17" hidden="1" outlineLevel="1" x14ac:dyDescent="0.25">
      <c r="D476"/>
      <c r="E476" s="135" t="s">
        <v>746</v>
      </c>
    </row>
    <row r="477" spans="1:17" s="180" customFormat="1" hidden="1" outlineLevel="1" x14ac:dyDescent="0.25">
      <c r="A477" s="180">
        <f>A473+1</f>
        <v>5</v>
      </c>
      <c r="B477" s="180" t="s">
        <v>266</v>
      </c>
      <c r="D477" s="180" t="s">
        <v>747</v>
      </c>
      <c r="E477" s="181" t="s">
        <v>748</v>
      </c>
      <c r="F477" s="180" t="s">
        <v>721</v>
      </c>
      <c r="G477" s="180" t="s">
        <v>0</v>
      </c>
      <c r="H477" s="180" t="s">
        <v>749</v>
      </c>
      <c r="I477" s="180" t="s">
        <v>739</v>
      </c>
      <c r="J477" s="180" t="s">
        <v>717</v>
      </c>
    </row>
    <row r="478" spans="1:17" s="180" customFormat="1" hidden="1" outlineLevel="1" x14ac:dyDescent="0.25">
      <c r="E478" s="180" t="s">
        <v>750</v>
      </c>
      <c r="G478" s="180" t="s">
        <v>737</v>
      </c>
    </row>
    <row r="479" spans="1:17" s="180" customFormat="1" hidden="1" outlineLevel="1" x14ac:dyDescent="0.25">
      <c r="E479" s="180" t="s">
        <v>751</v>
      </c>
      <c r="G479" s="180" t="s">
        <v>737</v>
      </c>
    </row>
    <row r="480" spans="1:17" s="180" customFormat="1" hidden="1" outlineLevel="1" x14ac:dyDescent="0.25">
      <c r="E480" s="180" t="s">
        <v>752</v>
      </c>
      <c r="G480" s="180" t="s">
        <v>737</v>
      </c>
      <c r="K480" s="182">
        <v>39204</v>
      </c>
    </row>
    <row r="481" spans="1:20" s="180" customFormat="1" hidden="1" outlineLevel="1" x14ac:dyDescent="0.25"/>
    <row r="482" spans="1:20" s="180" customFormat="1" hidden="1" outlineLevel="1" x14ac:dyDescent="0.25">
      <c r="A482" s="180">
        <v>6</v>
      </c>
      <c r="B482" s="180" t="s">
        <v>266</v>
      </c>
      <c r="D482" s="180" t="s">
        <v>753</v>
      </c>
      <c r="E482" s="181" t="s">
        <v>748</v>
      </c>
      <c r="F482" s="180" t="s">
        <v>721</v>
      </c>
      <c r="G482" s="180" t="s">
        <v>0</v>
      </c>
      <c r="H482" s="180" t="s">
        <v>749</v>
      </c>
      <c r="I482" s="180" t="s">
        <v>739</v>
      </c>
      <c r="J482" s="180" t="s">
        <v>717</v>
      </c>
      <c r="K482" s="182" t="s">
        <v>754</v>
      </c>
      <c r="L482" s="180" t="s">
        <v>755</v>
      </c>
      <c r="M482" s="180" t="s">
        <v>756</v>
      </c>
      <c r="N482" s="180" t="s">
        <v>756</v>
      </c>
      <c r="Q482" s="180" t="s">
        <v>718</v>
      </c>
      <c r="R482" s="180" t="s">
        <v>757</v>
      </c>
      <c r="S482" s="180" t="s">
        <v>758</v>
      </c>
      <c r="T482" s="180" t="s">
        <v>759</v>
      </c>
    </row>
    <row r="483" spans="1:20" s="180" customFormat="1" hidden="1" outlineLevel="1" x14ac:dyDescent="0.25">
      <c r="E483" s="180" t="s">
        <v>750</v>
      </c>
      <c r="G483" s="180" t="s">
        <v>737</v>
      </c>
      <c r="K483" s="180" t="s">
        <v>760</v>
      </c>
    </row>
    <row r="484" spans="1:20" s="180" customFormat="1" hidden="1" outlineLevel="1" x14ac:dyDescent="0.25">
      <c r="E484" s="180" t="s">
        <v>751</v>
      </c>
      <c r="G484" s="180" t="s">
        <v>737</v>
      </c>
    </row>
    <row r="485" spans="1:20" s="180" customFormat="1" hidden="1" outlineLevel="1" x14ac:dyDescent="0.25">
      <c r="E485" s="180" t="s">
        <v>761</v>
      </c>
      <c r="G485" s="180" t="s">
        <v>737</v>
      </c>
      <c r="K485" s="180" t="s">
        <v>762</v>
      </c>
    </row>
    <row r="486" spans="1:20" s="180" customFormat="1" hidden="1" outlineLevel="1" x14ac:dyDescent="0.25"/>
    <row r="487" spans="1:20" s="180" customFormat="1" hidden="1" outlineLevel="1" x14ac:dyDescent="0.25"/>
    <row r="488" spans="1:20" s="180" customFormat="1" hidden="1" outlineLevel="1" x14ac:dyDescent="0.25"/>
    <row r="489" spans="1:20" s="180" customFormat="1" ht="30" hidden="1" outlineLevel="1" x14ac:dyDescent="0.25">
      <c r="A489" s="180">
        <v>7</v>
      </c>
      <c r="B489" s="180" t="s">
        <v>266</v>
      </c>
      <c r="D489" s="181" t="s">
        <v>763</v>
      </c>
      <c r="E489" s="181" t="s">
        <v>748</v>
      </c>
      <c r="F489" s="180" t="s">
        <v>721</v>
      </c>
      <c r="G489" s="180" t="s">
        <v>0</v>
      </c>
      <c r="H489" s="180" t="s">
        <v>749</v>
      </c>
      <c r="I489" s="180" t="s">
        <v>739</v>
      </c>
      <c r="J489" s="180" t="s">
        <v>717</v>
      </c>
      <c r="K489" s="183"/>
      <c r="R489" s="180" t="s">
        <v>757</v>
      </c>
      <c r="S489" s="180" t="s">
        <v>758</v>
      </c>
      <c r="T489" s="180" t="s">
        <v>759</v>
      </c>
    </row>
    <row r="490" spans="1:20" s="180" customFormat="1" hidden="1" outlineLevel="1" x14ac:dyDescent="0.25">
      <c r="E490" s="180" t="s">
        <v>750</v>
      </c>
      <c r="G490" s="180" t="s">
        <v>737</v>
      </c>
      <c r="K490" s="182">
        <v>43102</v>
      </c>
    </row>
    <row r="491" spans="1:20" s="180" customFormat="1" hidden="1" outlineLevel="1" x14ac:dyDescent="0.25">
      <c r="E491" s="180" t="s">
        <v>751</v>
      </c>
      <c r="G491" s="180" t="s">
        <v>737</v>
      </c>
      <c r="K491" s="184" t="s">
        <v>764</v>
      </c>
    </row>
    <row r="492" spans="1:20" s="180" customFormat="1" hidden="1" outlineLevel="1" x14ac:dyDescent="0.25">
      <c r="E492" s="180" t="s">
        <v>765</v>
      </c>
      <c r="G492" s="180" t="s">
        <v>737</v>
      </c>
      <c r="K492" s="180" t="s">
        <v>766</v>
      </c>
    </row>
    <row r="493" spans="1:20" s="180" customFormat="1" hidden="1" outlineLevel="1" x14ac:dyDescent="0.25"/>
    <row r="494" spans="1:20" s="180" customFormat="1" hidden="1" outlineLevel="1" x14ac:dyDescent="0.25">
      <c r="A494" s="180">
        <v>8</v>
      </c>
      <c r="B494" s="180" t="s">
        <v>266</v>
      </c>
      <c r="D494" s="180" t="s">
        <v>767</v>
      </c>
      <c r="E494" s="181" t="s">
        <v>748</v>
      </c>
      <c r="F494" s="180" t="s">
        <v>721</v>
      </c>
      <c r="G494" s="180" t="s">
        <v>0</v>
      </c>
      <c r="H494" s="180" t="s">
        <v>749</v>
      </c>
      <c r="I494" s="180" t="s">
        <v>739</v>
      </c>
      <c r="J494" s="180" t="s">
        <v>717</v>
      </c>
      <c r="K494" s="183"/>
      <c r="R494" s="180" t="s">
        <v>757</v>
      </c>
      <c r="S494" s="180" t="s">
        <v>758</v>
      </c>
      <c r="T494" s="180" t="s">
        <v>759</v>
      </c>
    </row>
    <row r="495" spans="1:20" s="180" customFormat="1" hidden="1" outlineLevel="1" x14ac:dyDescent="0.25">
      <c r="E495" s="180" t="s">
        <v>750</v>
      </c>
      <c r="G495" s="180" t="s">
        <v>737</v>
      </c>
      <c r="K495" s="182">
        <v>44387</v>
      </c>
    </row>
    <row r="496" spans="1:20" s="180" customFormat="1" hidden="1" outlineLevel="1" x14ac:dyDescent="0.25">
      <c r="E496" s="180" t="s">
        <v>751</v>
      </c>
      <c r="G496" s="180" t="s">
        <v>737</v>
      </c>
      <c r="K496" s="180" t="s">
        <v>768</v>
      </c>
    </row>
    <row r="497" spans="1:20" s="180" customFormat="1" hidden="1" outlineLevel="1" x14ac:dyDescent="0.25">
      <c r="E497" s="180" t="s">
        <v>769</v>
      </c>
      <c r="G497" s="180" t="s">
        <v>737</v>
      </c>
      <c r="K497" s="180" t="s">
        <v>770</v>
      </c>
    </row>
    <row r="498" spans="1:20" s="180" customFormat="1" hidden="1" outlineLevel="1" x14ac:dyDescent="0.25"/>
    <row r="499" spans="1:20" s="180" customFormat="1" hidden="1" outlineLevel="1" x14ac:dyDescent="0.25">
      <c r="A499" s="180">
        <v>9</v>
      </c>
      <c r="B499" s="180" t="s">
        <v>266</v>
      </c>
      <c r="D499" s="184" t="s">
        <v>771</v>
      </c>
      <c r="E499" s="181" t="s">
        <v>748</v>
      </c>
      <c r="F499" s="180" t="s">
        <v>721</v>
      </c>
      <c r="G499" s="180" t="s">
        <v>0</v>
      </c>
      <c r="H499" s="180" t="s">
        <v>749</v>
      </c>
      <c r="I499" s="180" t="s">
        <v>739</v>
      </c>
      <c r="J499" s="180" t="s">
        <v>717</v>
      </c>
      <c r="K499" s="183"/>
      <c r="R499" s="180" t="s">
        <v>757</v>
      </c>
      <c r="S499" s="180" t="s">
        <v>758</v>
      </c>
      <c r="T499" s="180" t="s">
        <v>759</v>
      </c>
    </row>
    <row r="500" spans="1:20" s="180" customFormat="1" hidden="1" outlineLevel="1" x14ac:dyDescent="0.25">
      <c r="E500" s="180" t="s">
        <v>750</v>
      </c>
      <c r="G500" s="180" t="s">
        <v>737</v>
      </c>
      <c r="K500" s="183"/>
    </row>
    <row r="501" spans="1:20" s="180" customFormat="1" hidden="1" outlineLevel="1" x14ac:dyDescent="0.25">
      <c r="E501" s="180" t="s">
        <v>751</v>
      </c>
      <c r="G501" s="180" t="s">
        <v>737</v>
      </c>
      <c r="K501" s="183"/>
    </row>
    <row r="502" spans="1:20" s="180" customFormat="1" hidden="1" outlineLevel="1" x14ac:dyDescent="0.25">
      <c r="E502" s="180" t="s">
        <v>772</v>
      </c>
      <c r="G502" s="180" t="s">
        <v>737</v>
      </c>
      <c r="K502" s="182">
        <v>42777</v>
      </c>
    </row>
    <row r="503" spans="1:20" s="180" customFormat="1" hidden="1" outlineLevel="1" x14ac:dyDescent="0.25">
      <c r="E503" s="180" t="s">
        <v>112</v>
      </c>
    </row>
    <row r="504" spans="1:20" s="180" customFormat="1" hidden="1" outlineLevel="1" x14ac:dyDescent="0.25"/>
    <row r="505" spans="1:20" s="180" customFormat="1" hidden="1" outlineLevel="1" x14ac:dyDescent="0.25">
      <c r="A505" s="180">
        <v>10</v>
      </c>
      <c r="B505" s="180" t="s">
        <v>266</v>
      </c>
      <c r="D505" s="180" t="s">
        <v>773</v>
      </c>
      <c r="E505" s="181" t="s">
        <v>748</v>
      </c>
      <c r="F505" s="180" t="s">
        <v>721</v>
      </c>
      <c r="G505" s="180" t="s">
        <v>0</v>
      </c>
      <c r="H505" s="180" t="s">
        <v>749</v>
      </c>
      <c r="I505" s="180" t="s">
        <v>739</v>
      </c>
      <c r="J505" s="180" t="s">
        <v>717</v>
      </c>
      <c r="K505" s="183"/>
      <c r="R505" s="180" t="s">
        <v>757</v>
      </c>
      <c r="S505" s="180" t="s">
        <v>758</v>
      </c>
      <c r="T505" s="180" t="s">
        <v>759</v>
      </c>
    </row>
    <row r="506" spans="1:20" s="180" customFormat="1" hidden="1" outlineLevel="1" x14ac:dyDescent="0.25">
      <c r="E506" s="180" t="s">
        <v>750</v>
      </c>
      <c r="G506" s="180" t="s">
        <v>737</v>
      </c>
      <c r="K506" s="183"/>
    </row>
    <row r="507" spans="1:20" s="180" customFormat="1" hidden="1" outlineLevel="1" x14ac:dyDescent="0.25">
      <c r="E507" s="180" t="s">
        <v>751</v>
      </c>
      <c r="G507" s="180" t="s">
        <v>737</v>
      </c>
      <c r="K507" s="183"/>
    </row>
    <row r="508" spans="1:20" s="180" customFormat="1" hidden="1" outlineLevel="1" x14ac:dyDescent="0.25">
      <c r="E508" s="180" t="s">
        <v>774</v>
      </c>
      <c r="G508" s="180" t="s">
        <v>737</v>
      </c>
      <c r="K508" s="180" t="s">
        <v>775</v>
      </c>
    </row>
    <row r="509" spans="1:20" s="180" customFormat="1" hidden="1" outlineLevel="1" x14ac:dyDescent="0.25"/>
    <row r="510" spans="1:20" s="180" customFormat="1" hidden="1" outlineLevel="1" x14ac:dyDescent="0.25">
      <c r="A510" s="180">
        <v>11</v>
      </c>
      <c r="B510" s="180" t="s">
        <v>266</v>
      </c>
      <c r="D510" s="180" t="s">
        <v>776</v>
      </c>
      <c r="E510" s="181" t="s">
        <v>748</v>
      </c>
      <c r="F510" s="180" t="s">
        <v>721</v>
      </c>
      <c r="G510" s="180" t="s">
        <v>0</v>
      </c>
      <c r="H510" s="180" t="s">
        <v>749</v>
      </c>
      <c r="I510" s="180" t="s">
        <v>739</v>
      </c>
      <c r="J510" s="180" t="s">
        <v>717</v>
      </c>
      <c r="K510" s="180" t="s">
        <v>777</v>
      </c>
      <c r="L510" s="180" t="s">
        <v>778</v>
      </c>
      <c r="M510" s="180" t="s">
        <v>779</v>
      </c>
      <c r="N510" s="180" t="s">
        <v>779</v>
      </c>
      <c r="Q510" s="180" t="s">
        <v>718</v>
      </c>
      <c r="R510" s="180" t="s">
        <v>757</v>
      </c>
      <c r="S510" s="180" t="s">
        <v>758</v>
      </c>
      <c r="T510" s="180" t="s">
        <v>759</v>
      </c>
    </row>
    <row r="511" spans="1:20" s="180" customFormat="1" hidden="1" outlineLevel="1" x14ac:dyDescent="0.25">
      <c r="E511" s="180" t="s">
        <v>750</v>
      </c>
      <c r="G511" s="180" t="s">
        <v>737</v>
      </c>
      <c r="K511" s="182">
        <v>43564</v>
      </c>
    </row>
    <row r="512" spans="1:20" s="180" customFormat="1" hidden="1" outlineLevel="1" x14ac:dyDescent="0.25">
      <c r="E512" s="180" t="s">
        <v>751</v>
      </c>
      <c r="G512" s="180" t="s">
        <v>737</v>
      </c>
      <c r="K512" s="182">
        <v>43503</v>
      </c>
    </row>
    <row r="513" spans="1:20" s="180" customFormat="1" hidden="1" outlineLevel="1" x14ac:dyDescent="0.25">
      <c r="E513" s="180" t="s">
        <v>780</v>
      </c>
      <c r="G513" s="180" t="s">
        <v>737</v>
      </c>
      <c r="K513" s="183"/>
    </row>
    <row r="514" spans="1:20" s="180" customFormat="1" hidden="1" outlineLevel="1" x14ac:dyDescent="0.25"/>
    <row r="515" spans="1:20" s="180" customFormat="1" hidden="1" outlineLevel="1" x14ac:dyDescent="0.25">
      <c r="A515" s="180">
        <v>12</v>
      </c>
      <c r="B515" s="180" t="s">
        <v>266</v>
      </c>
      <c r="D515" s="180" t="s">
        <v>781</v>
      </c>
      <c r="E515" s="181" t="s">
        <v>748</v>
      </c>
      <c r="F515" s="180" t="s">
        <v>721</v>
      </c>
      <c r="G515" s="180" t="s">
        <v>0</v>
      </c>
      <c r="H515" s="180" t="s">
        <v>749</v>
      </c>
      <c r="I515" s="180" t="s">
        <v>739</v>
      </c>
      <c r="J515" s="180" t="s">
        <v>717</v>
      </c>
      <c r="K515" s="180" t="s">
        <v>777</v>
      </c>
      <c r="L515" s="180" t="s">
        <v>778</v>
      </c>
      <c r="M515" s="180" t="s">
        <v>782</v>
      </c>
      <c r="N515" s="180" t="s">
        <v>782</v>
      </c>
      <c r="Q515" s="180" t="s">
        <v>718</v>
      </c>
      <c r="R515" s="180" t="s">
        <v>757</v>
      </c>
      <c r="S515" s="180" t="s">
        <v>758</v>
      </c>
      <c r="T515" s="180" t="s">
        <v>759</v>
      </c>
    </row>
    <row r="516" spans="1:20" s="180" customFormat="1" hidden="1" outlineLevel="1" x14ac:dyDescent="0.25">
      <c r="E516" s="180" t="s">
        <v>750</v>
      </c>
      <c r="G516" s="180" t="s">
        <v>737</v>
      </c>
      <c r="K516" s="182">
        <v>42805</v>
      </c>
    </row>
    <row r="517" spans="1:20" s="180" customFormat="1" hidden="1" outlineLevel="1" x14ac:dyDescent="0.25">
      <c r="E517" s="180" t="s">
        <v>751</v>
      </c>
      <c r="G517" s="180" t="s">
        <v>737</v>
      </c>
      <c r="K517" s="182">
        <v>43169</v>
      </c>
    </row>
    <row r="518" spans="1:20" s="180" customFormat="1" hidden="1" outlineLevel="1" x14ac:dyDescent="0.25">
      <c r="E518" s="180" t="s">
        <v>783</v>
      </c>
      <c r="G518" s="180" t="s">
        <v>737</v>
      </c>
      <c r="K518" s="183"/>
    </row>
    <row r="519" spans="1:20" s="185" customFormat="1" hidden="1" outlineLevel="1" collapsed="1" x14ac:dyDescent="0.25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</row>
    <row r="520" spans="1:20" s="185" customFormat="1" hidden="1" outlineLevel="1" collapsed="1" x14ac:dyDescent="0.25">
      <c r="A520" s="180"/>
      <c r="B520" s="180"/>
      <c r="C520" s="180"/>
      <c r="D520" s="180" t="s">
        <v>784</v>
      </c>
      <c r="E520" s="181" t="s">
        <v>748</v>
      </c>
      <c r="F520" s="180" t="s">
        <v>721</v>
      </c>
      <c r="G520" s="180" t="s">
        <v>0</v>
      </c>
      <c r="H520" s="180" t="s">
        <v>749</v>
      </c>
      <c r="I520" s="180" t="s">
        <v>739</v>
      </c>
      <c r="J520" s="180" t="s">
        <v>717</v>
      </c>
      <c r="K520" s="180" t="s">
        <v>785</v>
      </c>
      <c r="L520" s="180" t="s">
        <v>786</v>
      </c>
      <c r="M520" s="180" t="s">
        <v>787</v>
      </c>
      <c r="N520" s="180" t="s">
        <v>787</v>
      </c>
      <c r="O520" s="180"/>
      <c r="P520" s="180"/>
      <c r="Q520" s="180" t="s">
        <v>788</v>
      </c>
      <c r="R520" s="180" t="s">
        <v>757</v>
      </c>
      <c r="S520" s="180" t="s">
        <v>758</v>
      </c>
      <c r="T520" s="180" t="s">
        <v>759</v>
      </c>
    </row>
    <row r="521" spans="1:20" s="185" customFormat="1" hidden="1" outlineLevel="1" collapsed="1" x14ac:dyDescent="0.25">
      <c r="A521" s="180"/>
      <c r="B521" s="180"/>
      <c r="C521" s="180"/>
      <c r="D521" s="180"/>
      <c r="E521" s="180" t="s">
        <v>789</v>
      </c>
      <c r="F521" s="180"/>
      <c r="G521" s="180" t="s">
        <v>737</v>
      </c>
      <c r="H521" s="180"/>
      <c r="I521" s="180"/>
      <c r="J521" s="180"/>
      <c r="K521" s="182">
        <v>38447</v>
      </c>
      <c r="L521" s="180"/>
      <c r="M521" s="180"/>
      <c r="N521" s="180"/>
      <c r="O521" s="180"/>
      <c r="P521" s="180"/>
      <c r="Q521" s="180"/>
      <c r="R521" s="180"/>
      <c r="S521" s="180"/>
      <c r="T521" s="180"/>
    </row>
    <row r="522" spans="1:20" s="114" customFormat="1" collapsed="1" x14ac:dyDescent="0.25">
      <c r="A522" s="118">
        <v>12</v>
      </c>
      <c r="B522" s="118" t="s">
        <v>266</v>
      </c>
      <c r="D522" s="115"/>
      <c r="E522" s="115"/>
    </row>
    <row r="523" spans="1:20" s="128" customFormat="1" outlineLevel="1" collapsed="1" x14ac:dyDescent="0.25">
      <c r="A523">
        <v>1</v>
      </c>
      <c r="B523" t="s">
        <v>739</v>
      </c>
      <c r="C523" t="s">
        <v>790</v>
      </c>
      <c r="D523" s="1" t="s">
        <v>3</v>
      </c>
      <c r="E523" t="s">
        <v>791</v>
      </c>
      <c r="F523" t="s">
        <v>100</v>
      </c>
      <c r="G523" t="s">
        <v>435</v>
      </c>
      <c r="H523" t="s">
        <v>792</v>
      </c>
      <c r="I523"/>
      <c r="J523" t="s">
        <v>793</v>
      </c>
      <c r="K523"/>
      <c r="L523"/>
      <c r="M523" t="s">
        <v>794</v>
      </c>
      <c r="N523" t="s">
        <v>435</v>
      </c>
      <c r="O523" t="s">
        <v>487</v>
      </c>
      <c r="P523" t="s">
        <v>487</v>
      </c>
      <c r="Q523" t="s">
        <v>487</v>
      </c>
      <c r="R523">
        <v>5</v>
      </c>
      <c r="S523">
        <v>3</v>
      </c>
      <c r="T523">
        <v>2</v>
      </c>
    </row>
    <row r="524" spans="1:20" s="128" customFormat="1" outlineLevel="1" x14ac:dyDescent="0.25">
      <c r="A524">
        <f>A523+1</f>
        <v>2</v>
      </c>
      <c r="B524" t="s">
        <v>739</v>
      </c>
      <c r="C524" t="s">
        <v>790</v>
      </c>
      <c r="D524" s="1" t="s">
        <v>3</v>
      </c>
      <c r="E524" t="s">
        <v>795</v>
      </c>
      <c r="F524" t="s">
        <v>100</v>
      </c>
      <c r="G524" t="s">
        <v>435</v>
      </c>
      <c r="H524" t="s">
        <v>796</v>
      </c>
      <c r="I524"/>
      <c r="J524" t="s">
        <v>793</v>
      </c>
      <c r="K524"/>
      <c r="L524"/>
      <c r="M524" t="s">
        <v>797</v>
      </c>
      <c r="N524" t="s">
        <v>435</v>
      </c>
      <c r="O524" t="s">
        <v>487</v>
      </c>
      <c r="P524" t="s">
        <v>487</v>
      </c>
      <c r="Q524" t="s">
        <v>487</v>
      </c>
      <c r="R524">
        <v>5</v>
      </c>
      <c r="S524">
        <v>3</v>
      </c>
      <c r="T524">
        <v>2</v>
      </c>
    </row>
    <row r="525" spans="1:20" s="128" customFormat="1" outlineLevel="1" x14ac:dyDescent="0.25">
      <c r="A525">
        <f t="shared" ref="A525:A553" si="23">A524+1</f>
        <v>3</v>
      </c>
      <c r="B525" t="s">
        <v>739</v>
      </c>
      <c r="C525" t="s">
        <v>790</v>
      </c>
      <c r="D525" s="1" t="s">
        <v>3</v>
      </c>
      <c r="E525" t="s">
        <v>798</v>
      </c>
      <c r="F525" t="s">
        <v>100</v>
      </c>
      <c r="G525" t="s">
        <v>435</v>
      </c>
      <c r="H525" t="s">
        <v>799</v>
      </c>
      <c r="I525" t="s">
        <v>792</v>
      </c>
      <c r="J525" t="s">
        <v>793</v>
      </c>
      <c r="K525"/>
      <c r="L525"/>
      <c r="M525" t="s">
        <v>800</v>
      </c>
      <c r="N525" t="s">
        <v>435</v>
      </c>
      <c r="O525" t="s">
        <v>487</v>
      </c>
      <c r="P525" t="s">
        <v>487</v>
      </c>
      <c r="Q525" t="s">
        <v>487</v>
      </c>
      <c r="R525">
        <v>5</v>
      </c>
      <c r="S525">
        <v>3</v>
      </c>
      <c r="T525">
        <v>2</v>
      </c>
    </row>
    <row r="526" spans="1:20" s="128" customFormat="1" outlineLevel="1" x14ac:dyDescent="0.25">
      <c r="A526">
        <f t="shared" si="23"/>
        <v>4</v>
      </c>
      <c r="B526" t="s">
        <v>739</v>
      </c>
      <c r="C526" t="s">
        <v>790</v>
      </c>
      <c r="D526" s="1" t="s">
        <v>801</v>
      </c>
      <c r="E526" t="s">
        <v>802</v>
      </c>
      <c r="F526" t="s">
        <v>803</v>
      </c>
      <c r="G526" t="s">
        <v>804</v>
      </c>
      <c r="H526" t="s">
        <v>805</v>
      </c>
      <c r="I526"/>
      <c r="J526" t="s">
        <v>793</v>
      </c>
      <c r="K526"/>
      <c r="L526"/>
      <c r="M526" t="s">
        <v>806</v>
      </c>
      <c r="N526" t="s">
        <v>804</v>
      </c>
      <c r="O526" t="s">
        <v>487</v>
      </c>
      <c r="P526" t="s">
        <v>487</v>
      </c>
      <c r="Q526" t="s">
        <v>487</v>
      </c>
      <c r="R526">
        <v>5</v>
      </c>
      <c r="S526">
        <v>3</v>
      </c>
      <c r="T526">
        <v>2</v>
      </c>
    </row>
    <row r="527" spans="1:20" s="128" customFormat="1" outlineLevel="1" x14ac:dyDescent="0.25">
      <c r="A527">
        <f t="shared" si="23"/>
        <v>5</v>
      </c>
      <c r="B527" t="s">
        <v>739</v>
      </c>
      <c r="C527" t="s">
        <v>790</v>
      </c>
      <c r="D527" s="1" t="s">
        <v>3</v>
      </c>
      <c r="E527" s="1" t="s">
        <v>807</v>
      </c>
      <c r="F527" t="s">
        <v>100</v>
      </c>
      <c r="G527" t="s">
        <v>435</v>
      </c>
      <c r="H527" t="s">
        <v>792</v>
      </c>
      <c r="I527"/>
      <c r="J527" t="s">
        <v>793</v>
      </c>
      <c r="K527"/>
      <c r="L527"/>
      <c r="M527" t="s">
        <v>808</v>
      </c>
      <c r="N527" t="s">
        <v>435</v>
      </c>
      <c r="O527" t="s">
        <v>487</v>
      </c>
      <c r="P527" t="s">
        <v>487</v>
      </c>
      <c r="Q527" t="s">
        <v>487</v>
      </c>
      <c r="R527">
        <v>5</v>
      </c>
      <c r="S527">
        <v>3</v>
      </c>
      <c r="T527">
        <v>2</v>
      </c>
    </row>
    <row r="528" spans="1:20" s="128" customFormat="1" outlineLevel="1" x14ac:dyDescent="0.25">
      <c r="A528">
        <f t="shared" si="23"/>
        <v>6</v>
      </c>
      <c r="B528" t="s">
        <v>739</v>
      </c>
      <c r="C528" t="s">
        <v>790</v>
      </c>
      <c r="D528" s="1" t="s">
        <v>3</v>
      </c>
      <c r="E528" s="1" t="s">
        <v>809</v>
      </c>
      <c r="F528" t="s">
        <v>100</v>
      </c>
      <c r="G528" t="s">
        <v>435</v>
      </c>
      <c r="H528" t="s">
        <v>792</v>
      </c>
      <c r="I528"/>
      <c r="J528" t="s">
        <v>793</v>
      </c>
      <c r="K528"/>
      <c r="L528"/>
      <c r="M528" t="s">
        <v>808</v>
      </c>
      <c r="N528" t="s">
        <v>435</v>
      </c>
      <c r="O528" t="s">
        <v>487</v>
      </c>
      <c r="P528" t="s">
        <v>487</v>
      </c>
      <c r="Q528" t="s">
        <v>487</v>
      </c>
      <c r="R528">
        <v>5</v>
      </c>
      <c r="S528">
        <v>3</v>
      </c>
      <c r="T528">
        <v>2</v>
      </c>
    </row>
    <row r="529" spans="1:20" s="128" customFormat="1" outlineLevel="1" x14ac:dyDescent="0.25">
      <c r="A529">
        <f t="shared" si="23"/>
        <v>7</v>
      </c>
      <c r="B529" t="s">
        <v>739</v>
      </c>
      <c r="C529" t="s">
        <v>790</v>
      </c>
      <c r="D529" s="1" t="s">
        <v>740</v>
      </c>
      <c r="E529" s="1" t="s">
        <v>740</v>
      </c>
      <c r="F529" t="s">
        <v>100</v>
      </c>
      <c r="G529" t="s">
        <v>435</v>
      </c>
      <c r="H529" t="s">
        <v>792</v>
      </c>
      <c r="I529"/>
      <c r="J529" t="s">
        <v>793</v>
      </c>
      <c r="K529"/>
      <c r="L529"/>
      <c r="M529" t="s">
        <v>810</v>
      </c>
      <c r="N529" t="s">
        <v>435</v>
      </c>
      <c r="O529" t="s">
        <v>487</v>
      </c>
      <c r="P529" t="s">
        <v>487</v>
      </c>
      <c r="Q529" t="s">
        <v>487</v>
      </c>
      <c r="R529">
        <v>5</v>
      </c>
      <c r="S529">
        <v>3</v>
      </c>
      <c r="T529">
        <v>2</v>
      </c>
    </row>
    <row r="530" spans="1:20" s="128" customFormat="1" outlineLevel="1" x14ac:dyDescent="0.25">
      <c r="A530">
        <f t="shared" si="23"/>
        <v>8</v>
      </c>
      <c r="B530" t="s">
        <v>739</v>
      </c>
      <c r="C530" t="s">
        <v>790</v>
      </c>
      <c r="D530" s="1" t="s">
        <v>735</v>
      </c>
      <c r="E530" s="1" t="s">
        <v>735</v>
      </c>
      <c r="F530" t="s">
        <v>100</v>
      </c>
      <c r="G530" t="s">
        <v>435</v>
      </c>
      <c r="H530" t="s">
        <v>796</v>
      </c>
      <c r="I530"/>
      <c r="J530" t="s">
        <v>793</v>
      </c>
      <c r="K530"/>
      <c r="L530"/>
      <c r="M530" t="s">
        <v>810</v>
      </c>
      <c r="N530" t="s">
        <v>435</v>
      </c>
      <c r="O530" t="s">
        <v>487</v>
      </c>
      <c r="P530" t="s">
        <v>487</v>
      </c>
      <c r="Q530" t="s">
        <v>487</v>
      </c>
      <c r="R530">
        <v>5</v>
      </c>
      <c r="S530">
        <v>3</v>
      </c>
      <c r="T530">
        <v>2</v>
      </c>
    </row>
    <row r="531" spans="1:20" s="128" customFormat="1" outlineLevel="1" x14ac:dyDescent="0.25">
      <c r="A531">
        <f t="shared" si="23"/>
        <v>9</v>
      </c>
      <c r="B531" t="s">
        <v>739</v>
      </c>
      <c r="C531" t="s">
        <v>790</v>
      </c>
      <c r="D531" s="1" t="s">
        <v>811</v>
      </c>
      <c r="E531" s="1" t="s">
        <v>812</v>
      </c>
      <c r="F531" t="s">
        <v>100</v>
      </c>
      <c r="G531" t="s">
        <v>435</v>
      </c>
      <c r="H531" t="s">
        <v>813</v>
      </c>
      <c r="I531" t="s">
        <v>792</v>
      </c>
      <c r="J531" t="s">
        <v>793</v>
      </c>
      <c r="K531"/>
      <c r="L531"/>
      <c r="M531" t="s">
        <v>808</v>
      </c>
      <c r="N531" t="s">
        <v>435</v>
      </c>
      <c r="O531" t="s">
        <v>487</v>
      </c>
      <c r="P531" t="s">
        <v>487</v>
      </c>
      <c r="Q531" t="s">
        <v>487</v>
      </c>
      <c r="R531">
        <v>5</v>
      </c>
      <c r="S531">
        <v>3</v>
      </c>
      <c r="T531">
        <v>2</v>
      </c>
    </row>
    <row r="532" spans="1:20" s="128" customFormat="1" outlineLevel="1" x14ac:dyDescent="0.25">
      <c r="A532">
        <f t="shared" si="23"/>
        <v>10</v>
      </c>
      <c r="B532" t="s">
        <v>739</v>
      </c>
      <c r="C532" t="s">
        <v>790</v>
      </c>
      <c r="D532" s="1" t="s">
        <v>742</v>
      </c>
      <c r="E532" s="1" t="s">
        <v>814</v>
      </c>
      <c r="F532" t="s">
        <v>100</v>
      </c>
      <c r="G532" t="s">
        <v>435</v>
      </c>
      <c r="H532" t="s">
        <v>792</v>
      </c>
      <c r="I532"/>
      <c r="J532" t="s">
        <v>793</v>
      </c>
      <c r="K532"/>
      <c r="L532"/>
      <c r="M532" t="s">
        <v>810</v>
      </c>
      <c r="N532" t="s">
        <v>435</v>
      </c>
      <c r="O532" t="s">
        <v>487</v>
      </c>
      <c r="P532" t="s">
        <v>487</v>
      </c>
      <c r="Q532" t="s">
        <v>487</v>
      </c>
      <c r="R532">
        <v>5</v>
      </c>
      <c r="S532">
        <v>3</v>
      </c>
      <c r="T532">
        <v>2</v>
      </c>
    </row>
    <row r="533" spans="1:20" s="128" customFormat="1" outlineLevel="1" x14ac:dyDescent="0.25">
      <c r="A533">
        <f t="shared" si="23"/>
        <v>11</v>
      </c>
      <c r="B533" t="s">
        <v>739</v>
      </c>
      <c r="C533" t="s">
        <v>815</v>
      </c>
      <c r="D533" s="1" t="s">
        <v>811</v>
      </c>
      <c r="E533" s="1" t="s">
        <v>816</v>
      </c>
      <c r="F533" t="s">
        <v>100</v>
      </c>
      <c r="G533" t="s">
        <v>0</v>
      </c>
      <c r="H533" t="s">
        <v>813</v>
      </c>
      <c r="I533" t="s">
        <v>792</v>
      </c>
      <c r="J533" t="s">
        <v>793</v>
      </c>
      <c r="K533"/>
      <c r="L533"/>
      <c r="M533" t="s">
        <v>817</v>
      </c>
      <c r="N533" t="s">
        <v>0</v>
      </c>
      <c r="O533" t="s">
        <v>487</v>
      </c>
      <c r="P533" t="s">
        <v>487</v>
      </c>
      <c r="Q533" t="s">
        <v>487</v>
      </c>
      <c r="R533">
        <v>5</v>
      </c>
      <c r="S533">
        <v>3</v>
      </c>
      <c r="T533">
        <v>2</v>
      </c>
    </row>
    <row r="534" spans="1:20" s="128" customFormat="1" outlineLevel="1" x14ac:dyDescent="0.25">
      <c r="A534">
        <f t="shared" si="23"/>
        <v>12</v>
      </c>
      <c r="B534" t="s">
        <v>739</v>
      </c>
      <c r="C534" t="s">
        <v>815</v>
      </c>
      <c r="D534" s="1" t="s">
        <v>801</v>
      </c>
      <c r="E534" s="1" t="s">
        <v>41</v>
      </c>
      <c r="F534" t="s">
        <v>100</v>
      </c>
      <c r="G534" t="s">
        <v>0</v>
      </c>
      <c r="H534" t="s">
        <v>813</v>
      </c>
      <c r="I534" t="s">
        <v>792</v>
      </c>
      <c r="J534" t="s">
        <v>793</v>
      </c>
      <c r="K534"/>
      <c r="L534"/>
      <c r="M534" t="s">
        <v>817</v>
      </c>
      <c r="N534" t="s">
        <v>0</v>
      </c>
      <c r="O534" t="s">
        <v>487</v>
      </c>
      <c r="P534" t="s">
        <v>487</v>
      </c>
      <c r="Q534" t="s">
        <v>487</v>
      </c>
      <c r="R534">
        <v>5</v>
      </c>
      <c r="S534">
        <v>3</v>
      </c>
      <c r="T534">
        <v>2</v>
      </c>
    </row>
    <row r="535" spans="1:20" s="128" customFormat="1" outlineLevel="1" x14ac:dyDescent="0.25">
      <c r="A535">
        <f t="shared" si="23"/>
        <v>13</v>
      </c>
      <c r="B535" t="s">
        <v>739</v>
      </c>
      <c r="C535" t="s">
        <v>790</v>
      </c>
      <c r="D535" s="1" t="s">
        <v>3</v>
      </c>
      <c r="E535" s="1" t="s">
        <v>42</v>
      </c>
      <c r="F535" t="s">
        <v>100</v>
      </c>
      <c r="G535" t="s">
        <v>0</v>
      </c>
      <c r="H535" t="s">
        <v>818</v>
      </c>
      <c r="I535" t="s">
        <v>792</v>
      </c>
      <c r="J535" t="s">
        <v>793</v>
      </c>
      <c r="K535"/>
      <c r="L535"/>
      <c r="M535" t="s">
        <v>817</v>
      </c>
      <c r="N535" t="s">
        <v>0</v>
      </c>
      <c r="O535" t="s">
        <v>487</v>
      </c>
      <c r="P535" t="s">
        <v>487</v>
      </c>
      <c r="Q535" t="s">
        <v>487</v>
      </c>
      <c r="R535">
        <v>5</v>
      </c>
      <c r="S535">
        <v>3</v>
      </c>
      <c r="T535">
        <v>2</v>
      </c>
    </row>
    <row r="536" spans="1:20" s="128" customFormat="1" outlineLevel="1" x14ac:dyDescent="0.25">
      <c r="A536">
        <f t="shared" si="23"/>
        <v>14</v>
      </c>
      <c r="B536" t="s">
        <v>739</v>
      </c>
      <c r="C536" t="s">
        <v>790</v>
      </c>
      <c r="D536" s="1" t="s">
        <v>3</v>
      </c>
      <c r="E536" t="s">
        <v>819</v>
      </c>
      <c r="F536" t="s">
        <v>100</v>
      </c>
      <c r="G536" t="s">
        <v>804</v>
      </c>
      <c r="H536" t="s">
        <v>792</v>
      </c>
      <c r="I536"/>
      <c r="J536" t="s">
        <v>793</v>
      </c>
      <c r="K536"/>
      <c r="L536"/>
      <c r="M536" t="s">
        <v>820</v>
      </c>
      <c r="N536" t="s">
        <v>804</v>
      </c>
      <c r="O536" t="s">
        <v>487</v>
      </c>
      <c r="P536" t="s">
        <v>487</v>
      </c>
      <c r="Q536" t="s">
        <v>487</v>
      </c>
      <c r="R536">
        <v>5</v>
      </c>
      <c r="S536">
        <v>3</v>
      </c>
      <c r="T536">
        <v>2</v>
      </c>
    </row>
    <row r="537" spans="1:20" s="128" customFormat="1" outlineLevel="1" x14ac:dyDescent="0.25">
      <c r="A537">
        <f t="shared" si="23"/>
        <v>15</v>
      </c>
      <c r="B537" t="s">
        <v>739</v>
      </c>
      <c r="C537" t="s">
        <v>815</v>
      </c>
      <c r="D537" t="s">
        <v>821</v>
      </c>
      <c r="E537" t="s">
        <v>822</v>
      </c>
      <c r="F537" t="s">
        <v>100</v>
      </c>
      <c r="G537" t="s">
        <v>0</v>
      </c>
      <c r="H537" t="s">
        <v>677</v>
      </c>
      <c r="I537"/>
      <c r="J537" t="s">
        <v>793</v>
      </c>
      <c r="K537"/>
      <c r="L537"/>
      <c r="M537" t="s">
        <v>817</v>
      </c>
      <c r="N537" t="s">
        <v>0</v>
      </c>
      <c r="O537" t="s">
        <v>487</v>
      </c>
      <c r="P537" t="s">
        <v>487</v>
      </c>
      <c r="Q537" t="s">
        <v>487</v>
      </c>
      <c r="R537">
        <v>5</v>
      </c>
      <c r="S537">
        <v>3</v>
      </c>
      <c r="T537">
        <v>2</v>
      </c>
    </row>
    <row r="538" spans="1:20" s="128" customFormat="1" outlineLevel="1" x14ac:dyDescent="0.25">
      <c r="A538">
        <f t="shared" si="23"/>
        <v>16</v>
      </c>
      <c r="B538" t="s">
        <v>739</v>
      </c>
      <c r="C538" t="s">
        <v>790</v>
      </c>
      <c r="D538" t="s">
        <v>823</v>
      </c>
      <c r="E538" t="s">
        <v>823</v>
      </c>
      <c r="F538" t="s">
        <v>100</v>
      </c>
      <c r="G538" t="s">
        <v>435</v>
      </c>
      <c r="H538" t="s">
        <v>792</v>
      </c>
      <c r="I538"/>
      <c r="J538" t="s">
        <v>793</v>
      </c>
      <c r="K538"/>
      <c r="L538"/>
      <c r="M538" t="s">
        <v>800</v>
      </c>
      <c r="N538" t="s">
        <v>435</v>
      </c>
      <c r="O538" t="s">
        <v>487</v>
      </c>
      <c r="P538" t="s">
        <v>487</v>
      </c>
      <c r="Q538" t="s">
        <v>487</v>
      </c>
      <c r="R538">
        <v>5</v>
      </c>
      <c r="S538">
        <v>3</v>
      </c>
      <c r="T538">
        <v>2</v>
      </c>
    </row>
    <row r="539" spans="1:20" s="128" customFormat="1" outlineLevel="1" x14ac:dyDescent="0.25">
      <c r="A539">
        <f t="shared" si="23"/>
        <v>17</v>
      </c>
      <c r="B539" t="s">
        <v>739</v>
      </c>
      <c r="C539" t="s">
        <v>790</v>
      </c>
      <c r="D539" t="s">
        <v>9</v>
      </c>
      <c r="E539" t="s">
        <v>9</v>
      </c>
      <c r="F539" t="s">
        <v>100</v>
      </c>
      <c r="G539" t="s">
        <v>435</v>
      </c>
      <c r="H539" t="s">
        <v>792</v>
      </c>
      <c r="I539"/>
      <c r="J539" t="s">
        <v>793</v>
      </c>
      <c r="K539"/>
      <c r="L539"/>
      <c r="M539" t="s">
        <v>800</v>
      </c>
      <c r="N539" t="s">
        <v>435</v>
      </c>
      <c r="O539" t="s">
        <v>487</v>
      </c>
      <c r="P539" t="s">
        <v>487</v>
      </c>
      <c r="Q539" t="s">
        <v>487</v>
      </c>
      <c r="R539">
        <v>5</v>
      </c>
      <c r="S539">
        <v>3</v>
      </c>
      <c r="T539">
        <v>2</v>
      </c>
    </row>
    <row r="540" spans="1:20" s="128" customFormat="1" outlineLevel="1" x14ac:dyDescent="0.25">
      <c r="A540">
        <f t="shared" si="23"/>
        <v>18</v>
      </c>
      <c r="B540" t="s">
        <v>739</v>
      </c>
      <c r="C540" t="s">
        <v>824</v>
      </c>
      <c r="D540" t="s">
        <v>825</v>
      </c>
      <c r="E540" t="s">
        <v>826</v>
      </c>
      <c r="F540" t="s">
        <v>100</v>
      </c>
      <c r="G540" t="s">
        <v>0</v>
      </c>
      <c r="H540" t="s">
        <v>827</v>
      </c>
      <c r="I540" t="s">
        <v>792</v>
      </c>
      <c r="J540" t="s">
        <v>793</v>
      </c>
      <c r="K540"/>
      <c r="L540"/>
      <c r="M540" t="s">
        <v>0</v>
      </c>
      <c r="N540" t="s">
        <v>0</v>
      </c>
      <c r="O540" t="s">
        <v>487</v>
      </c>
      <c r="P540" t="s">
        <v>487</v>
      </c>
      <c r="Q540" t="s">
        <v>487</v>
      </c>
      <c r="R540">
        <v>5</v>
      </c>
      <c r="S540">
        <v>3</v>
      </c>
      <c r="T540">
        <v>2</v>
      </c>
    </row>
    <row r="541" spans="1:20" s="128" customFormat="1" outlineLevel="1" x14ac:dyDescent="0.25">
      <c r="A541">
        <f t="shared" si="23"/>
        <v>19</v>
      </c>
      <c r="B541" t="s">
        <v>739</v>
      </c>
      <c r="C541" t="s">
        <v>828</v>
      </c>
      <c r="D541" t="s">
        <v>3</v>
      </c>
      <c r="E541" t="s">
        <v>829</v>
      </c>
      <c r="F541" t="s">
        <v>830</v>
      </c>
      <c r="G541" t="s">
        <v>0</v>
      </c>
      <c r="H541" t="s">
        <v>831</v>
      </c>
      <c r="I541"/>
      <c r="J541" t="s">
        <v>793</v>
      </c>
      <c r="K541"/>
      <c r="L541"/>
      <c r="M541" t="s">
        <v>0</v>
      </c>
      <c r="N541" t="s">
        <v>0</v>
      </c>
      <c r="O541" t="s">
        <v>487</v>
      </c>
      <c r="P541" t="s">
        <v>487</v>
      </c>
      <c r="Q541" t="s">
        <v>487</v>
      </c>
      <c r="R541">
        <v>5</v>
      </c>
      <c r="S541">
        <v>3</v>
      </c>
      <c r="T541">
        <v>2</v>
      </c>
    </row>
    <row r="542" spans="1:20" s="128" customFormat="1" outlineLevel="1" x14ac:dyDescent="0.25">
      <c r="A542">
        <f t="shared" si="23"/>
        <v>20</v>
      </c>
      <c r="B542" t="s">
        <v>739</v>
      </c>
      <c r="C542" t="s">
        <v>790</v>
      </c>
      <c r="D542" t="s">
        <v>3</v>
      </c>
      <c r="E542" t="s">
        <v>832</v>
      </c>
      <c r="F542" t="s">
        <v>100</v>
      </c>
      <c r="G542" t="s">
        <v>435</v>
      </c>
      <c r="H542" t="s">
        <v>792</v>
      </c>
      <c r="I542"/>
      <c r="J542" t="s">
        <v>793</v>
      </c>
      <c r="K542"/>
      <c r="L542"/>
      <c r="M542" t="s">
        <v>794</v>
      </c>
      <c r="N542" t="s">
        <v>435</v>
      </c>
      <c r="O542" t="s">
        <v>487</v>
      </c>
      <c r="P542" t="s">
        <v>487</v>
      </c>
      <c r="Q542" t="s">
        <v>487</v>
      </c>
      <c r="R542">
        <v>5</v>
      </c>
      <c r="S542">
        <v>3</v>
      </c>
      <c r="T542">
        <v>2</v>
      </c>
    </row>
    <row r="543" spans="1:20" s="128" customFormat="1" outlineLevel="1" x14ac:dyDescent="0.25">
      <c r="A543">
        <f t="shared" si="23"/>
        <v>21</v>
      </c>
      <c r="B543" t="s">
        <v>739</v>
      </c>
      <c r="C543" t="s">
        <v>790</v>
      </c>
      <c r="D543" t="s">
        <v>3</v>
      </c>
      <c r="E543" t="s">
        <v>833</v>
      </c>
      <c r="F543" t="s">
        <v>100</v>
      </c>
      <c r="G543" t="s">
        <v>435</v>
      </c>
      <c r="H543" t="s">
        <v>792</v>
      </c>
      <c r="I543"/>
      <c r="J543" t="s">
        <v>793</v>
      </c>
      <c r="K543"/>
      <c r="L543"/>
      <c r="M543" t="s">
        <v>834</v>
      </c>
      <c r="N543" t="s">
        <v>435</v>
      </c>
      <c r="O543" t="s">
        <v>487</v>
      </c>
      <c r="P543" t="s">
        <v>487</v>
      </c>
      <c r="Q543" t="s">
        <v>487</v>
      </c>
      <c r="R543">
        <v>5</v>
      </c>
      <c r="S543">
        <v>3</v>
      </c>
      <c r="T543">
        <v>2</v>
      </c>
    </row>
    <row r="544" spans="1:20" s="128" customFormat="1" outlineLevel="1" x14ac:dyDescent="0.25">
      <c r="A544">
        <f t="shared" si="23"/>
        <v>22</v>
      </c>
      <c r="B544" t="s">
        <v>739</v>
      </c>
      <c r="C544" t="s">
        <v>790</v>
      </c>
      <c r="D544" s="1" t="s">
        <v>801</v>
      </c>
      <c r="E544" t="s">
        <v>835</v>
      </c>
      <c r="F544" t="s">
        <v>100</v>
      </c>
      <c r="G544" t="s">
        <v>804</v>
      </c>
      <c r="H544" t="s">
        <v>792</v>
      </c>
      <c r="I544"/>
      <c r="J544" t="s">
        <v>793</v>
      </c>
      <c r="K544"/>
      <c r="L544"/>
      <c r="M544" t="s">
        <v>806</v>
      </c>
      <c r="N544" t="s">
        <v>804</v>
      </c>
      <c r="O544" t="s">
        <v>487</v>
      </c>
      <c r="P544" t="s">
        <v>487</v>
      </c>
      <c r="Q544" t="s">
        <v>487</v>
      </c>
      <c r="R544">
        <v>5</v>
      </c>
      <c r="S544">
        <v>3</v>
      </c>
      <c r="T544">
        <v>2</v>
      </c>
    </row>
    <row r="545" spans="1:20" s="128" customFormat="1" outlineLevel="1" x14ac:dyDescent="0.25">
      <c r="A545">
        <f t="shared" si="23"/>
        <v>23</v>
      </c>
      <c r="B545" t="s">
        <v>739</v>
      </c>
      <c r="C545" t="s">
        <v>790</v>
      </c>
      <c r="D545" t="s">
        <v>3</v>
      </c>
      <c r="E545" s="1" t="s">
        <v>836</v>
      </c>
      <c r="F545" t="s">
        <v>100</v>
      </c>
      <c r="G545" t="s">
        <v>435</v>
      </c>
      <c r="H545" t="s">
        <v>792</v>
      </c>
      <c r="I545"/>
      <c r="J545" t="s">
        <v>793</v>
      </c>
      <c r="K545"/>
      <c r="L545"/>
      <c r="M545" t="s">
        <v>808</v>
      </c>
      <c r="N545" t="s">
        <v>435</v>
      </c>
      <c r="O545" t="s">
        <v>487</v>
      </c>
      <c r="P545" t="s">
        <v>487</v>
      </c>
      <c r="Q545" t="s">
        <v>487</v>
      </c>
      <c r="R545">
        <v>5</v>
      </c>
      <c r="S545">
        <v>3</v>
      </c>
      <c r="T545">
        <v>2</v>
      </c>
    </row>
    <row r="546" spans="1:20" s="128" customFormat="1" outlineLevel="1" x14ac:dyDescent="0.25">
      <c r="A546">
        <f t="shared" si="23"/>
        <v>24</v>
      </c>
      <c r="B546" t="s">
        <v>739</v>
      </c>
      <c r="C546" t="s">
        <v>790</v>
      </c>
      <c r="D546" s="1" t="s">
        <v>740</v>
      </c>
      <c r="E546" s="1" t="s">
        <v>837</v>
      </c>
      <c r="F546" t="s">
        <v>100</v>
      </c>
      <c r="G546" t="s">
        <v>435</v>
      </c>
      <c r="H546" t="s">
        <v>792</v>
      </c>
      <c r="I546"/>
      <c r="J546" t="s">
        <v>793</v>
      </c>
      <c r="K546"/>
      <c r="L546"/>
      <c r="M546" t="s">
        <v>810</v>
      </c>
      <c r="N546" t="s">
        <v>435</v>
      </c>
      <c r="O546" t="s">
        <v>487</v>
      </c>
      <c r="P546" t="s">
        <v>487</v>
      </c>
      <c r="Q546" t="s">
        <v>487</v>
      </c>
      <c r="R546">
        <v>5</v>
      </c>
      <c r="S546">
        <v>3</v>
      </c>
      <c r="T546">
        <v>2</v>
      </c>
    </row>
    <row r="547" spans="1:20" s="128" customFormat="1" outlineLevel="1" x14ac:dyDescent="0.25">
      <c r="A547">
        <f t="shared" si="23"/>
        <v>25</v>
      </c>
      <c r="B547" t="s">
        <v>739</v>
      </c>
      <c r="C547" t="s">
        <v>790</v>
      </c>
      <c r="D547" s="1" t="s">
        <v>735</v>
      </c>
      <c r="E547" s="1" t="s">
        <v>838</v>
      </c>
      <c r="F547" t="s">
        <v>100</v>
      </c>
      <c r="G547" t="s">
        <v>435</v>
      </c>
      <c r="H547" t="s">
        <v>792</v>
      </c>
      <c r="I547"/>
      <c r="J547" t="s">
        <v>793</v>
      </c>
      <c r="K547"/>
      <c r="L547"/>
      <c r="M547" t="s">
        <v>810</v>
      </c>
      <c r="N547" t="s">
        <v>435</v>
      </c>
      <c r="O547" t="s">
        <v>487</v>
      </c>
      <c r="P547" t="s">
        <v>487</v>
      </c>
      <c r="Q547" t="s">
        <v>487</v>
      </c>
      <c r="R547">
        <v>5</v>
      </c>
      <c r="S547">
        <v>3</v>
      </c>
      <c r="T547">
        <v>2</v>
      </c>
    </row>
    <row r="548" spans="1:20" s="128" customFormat="1" outlineLevel="1" x14ac:dyDescent="0.25">
      <c r="A548">
        <f t="shared" si="23"/>
        <v>26</v>
      </c>
      <c r="B548" t="s">
        <v>739</v>
      </c>
      <c r="C548" t="s">
        <v>790</v>
      </c>
      <c r="D548" s="1" t="s">
        <v>3</v>
      </c>
      <c r="E548" t="s">
        <v>839</v>
      </c>
      <c r="F548" t="s">
        <v>100</v>
      </c>
      <c r="G548" t="s">
        <v>804</v>
      </c>
      <c r="H548" t="s">
        <v>792</v>
      </c>
      <c r="I548"/>
      <c r="J548" t="s">
        <v>793</v>
      </c>
      <c r="K548"/>
      <c r="L548"/>
      <c r="M548" t="s">
        <v>820</v>
      </c>
      <c r="N548" t="s">
        <v>804</v>
      </c>
      <c r="O548" t="s">
        <v>487</v>
      </c>
      <c r="P548" t="s">
        <v>487</v>
      </c>
      <c r="Q548" t="s">
        <v>487</v>
      </c>
      <c r="R548">
        <v>5</v>
      </c>
      <c r="S548">
        <v>3</v>
      </c>
      <c r="T548">
        <v>2</v>
      </c>
    </row>
    <row r="549" spans="1:20" s="128" customFormat="1" outlineLevel="1" x14ac:dyDescent="0.25">
      <c r="A549">
        <f t="shared" si="23"/>
        <v>27</v>
      </c>
      <c r="B549" t="s">
        <v>739</v>
      </c>
      <c r="C549" t="s">
        <v>790</v>
      </c>
      <c r="D549" s="1" t="s">
        <v>3</v>
      </c>
      <c r="E549" t="s">
        <v>840</v>
      </c>
      <c r="F549" t="s">
        <v>100</v>
      </c>
      <c r="G549" t="s">
        <v>435</v>
      </c>
      <c r="H549" t="s">
        <v>792</v>
      </c>
      <c r="I549"/>
      <c r="J549" t="s">
        <v>793</v>
      </c>
      <c r="K549"/>
      <c r="L549"/>
      <c r="M549" t="s">
        <v>834</v>
      </c>
      <c r="N549" t="s">
        <v>435</v>
      </c>
      <c r="O549" t="s">
        <v>487</v>
      </c>
      <c r="P549" t="s">
        <v>487</v>
      </c>
      <c r="Q549" t="s">
        <v>487</v>
      </c>
      <c r="R549">
        <v>5</v>
      </c>
      <c r="S549">
        <v>3</v>
      </c>
      <c r="T549">
        <v>2</v>
      </c>
    </row>
    <row r="550" spans="1:20" s="128" customFormat="1" outlineLevel="1" x14ac:dyDescent="0.25">
      <c r="A550">
        <f t="shared" si="23"/>
        <v>28</v>
      </c>
      <c r="B550" t="s">
        <v>739</v>
      </c>
      <c r="C550" t="s">
        <v>790</v>
      </c>
      <c r="D550" s="1" t="s">
        <v>3</v>
      </c>
      <c r="E550" t="s">
        <v>841</v>
      </c>
      <c r="F550" t="s">
        <v>100</v>
      </c>
      <c r="G550" t="s">
        <v>804</v>
      </c>
      <c r="H550" t="s">
        <v>792</v>
      </c>
      <c r="I550"/>
      <c r="J550" t="s">
        <v>793</v>
      </c>
      <c r="K550"/>
      <c r="L550"/>
      <c r="M550" t="s">
        <v>820</v>
      </c>
      <c r="N550" t="s">
        <v>804</v>
      </c>
      <c r="O550" t="s">
        <v>487</v>
      </c>
      <c r="P550" t="s">
        <v>487</v>
      </c>
      <c r="Q550" t="s">
        <v>487</v>
      </c>
      <c r="R550">
        <v>5</v>
      </c>
      <c r="S550">
        <v>3</v>
      </c>
      <c r="T550">
        <v>2</v>
      </c>
    </row>
    <row r="551" spans="1:20" s="128" customFormat="1" outlineLevel="1" x14ac:dyDescent="0.25">
      <c r="A551">
        <f t="shared" si="23"/>
        <v>29</v>
      </c>
      <c r="B551" t="s">
        <v>739</v>
      </c>
      <c r="C551" t="s">
        <v>815</v>
      </c>
      <c r="D551" s="1" t="s">
        <v>811</v>
      </c>
      <c r="E551" s="1" t="s">
        <v>842</v>
      </c>
      <c r="F551" t="s">
        <v>100</v>
      </c>
      <c r="G551" t="s">
        <v>0</v>
      </c>
      <c r="H551" t="s">
        <v>813</v>
      </c>
      <c r="I551" t="s">
        <v>792</v>
      </c>
      <c r="J551" t="s">
        <v>793</v>
      </c>
      <c r="K551"/>
      <c r="L551"/>
      <c r="M551" t="s">
        <v>817</v>
      </c>
      <c r="N551" t="s">
        <v>0</v>
      </c>
      <c r="O551" t="s">
        <v>487</v>
      </c>
      <c r="P551" t="s">
        <v>487</v>
      </c>
      <c r="Q551" t="s">
        <v>487</v>
      </c>
      <c r="R551">
        <v>5</v>
      </c>
      <c r="S551">
        <v>3</v>
      </c>
      <c r="T551">
        <v>2</v>
      </c>
    </row>
    <row r="552" spans="1:20" s="128" customFormat="1" outlineLevel="1" x14ac:dyDescent="0.25">
      <c r="A552">
        <f t="shared" si="23"/>
        <v>30</v>
      </c>
      <c r="B552" t="s">
        <v>739</v>
      </c>
      <c r="C552" t="s">
        <v>828</v>
      </c>
      <c r="D552" t="s">
        <v>3</v>
      </c>
      <c r="E552" t="s">
        <v>843</v>
      </c>
      <c r="F552" t="s">
        <v>844</v>
      </c>
      <c r="G552" t="s">
        <v>0</v>
      </c>
      <c r="H552" t="s">
        <v>831</v>
      </c>
      <c r="I552"/>
      <c r="J552" t="s">
        <v>793</v>
      </c>
      <c r="K552"/>
      <c r="L552"/>
      <c r="M552" t="s">
        <v>0</v>
      </c>
      <c r="N552" t="s">
        <v>0</v>
      </c>
      <c r="O552" t="s">
        <v>487</v>
      </c>
      <c r="P552" t="s">
        <v>487</v>
      </c>
      <c r="Q552" t="s">
        <v>487</v>
      </c>
      <c r="R552">
        <v>5</v>
      </c>
      <c r="S552">
        <v>3</v>
      </c>
      <c r="T552">
        <v>2</v>
      </c>
    </row>
    <row r="553" spans="1:20" s="128" customFormat="1" outlineLevel="1" x14ac:dyDescent="0.25">
      <c r="A553">
        <f t="shared" si="23"/>
        <v>31</v>
      </c>
      <c r="B553" t="s">
        <v>739</v>
      </c>
      <c r="C553" t="s">
        <v>845</v>
      </c>
      <c r="D553" t="s">
        <v>846</v>
      </c>
      <c r="E553" t="s">
        <v>843</v>
      </c>
      <c r="F553" t="s">
        <v>844</v>
      </c>
      <c r="G553" t="s">
        <v>0</v>
      </c>
      <c r="H553" t="s">
        <v>831</v>
      </c>
      <c r="I553"/>
      <c r="J553" t="s">
        <v>793</v>
      </c>
      <c r="K553"/>
      <c r="L553"/>
      <c r="M553" t="s">
        <v>0</v>
      </c>
      <c r="N553" t="s">
        <v>0</v>
      </c>
      <c r="O553" t="s">
        <v>487</v>
      </c>
      <c r="P553" t="s">
        <v>487</v>
      </c>
      <c r="Q553" t="s">
        <v>487</v>
      </c>
      <c r="R553">
        <v>5</v>
      </c>
      <c r="S553">
        <v>3</v>
      </c>
      <c r="T553">
        <v>2</v>
      </c>
    </row>
    <row r="554" spans="1:20" s="128" customFormat="1" outlineLevel="1" x14ac:dyDescent="0.25">
      <c r="A554"/>
      <c r="B554"/>
      <c r="C554"/>
      <c r="D554" s="176" t="s">
        <v>1011</v>
      </c>
      <c r="E554"/>
      <c r="F554"/>
      <c r="G554" t="s">
        <v>804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1:20" s="128" customFormat="1" outlineLevel="1" x14ac:dyDescent="0.25">
      <c r="A555"/>
      <c r="B555"/>
      <c r="C555"/>
      <c r="D555" s="176" t="s">
        <v>1012</v>
      </c>
      <c r="E555"/>
      <c r="F555"/>
      <c r="G555" t="s">
        <v>804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1:20" s="128" customFormat="1" outlineLevel="1" x14ac:dyDescent="0.25">
      <c r="A556"/>
      <c r="B556"/>
      <c r="C556"/>
      <c r="D556" s="176" t="s">
        <v>1058</v>
      </c>
      <c r="E556"/>
      <c r="F556"/>
      <c r="G556"/>
      <c r="H556"/>
      <c r="I556"/>
      <c r="J556"/>
      <c r="K556"/>
      <c r="L556"/>
      <c r="M556" t="s">
        <v>1059</v>
      </c>
      <c r="N556"/>
      <c r="O556"/>
      <c r="P556"/>
      <c r="Q556"/>
      <c r="R556"/>
      <c r="S556"/>
      <c r="T556"/>
    </row>
    <row r="557" spans="1:20" s="128" customFormat="1" outlineLevel="1" x14ac:dyDescent="0.25">
      <c r="A557"/>
      <c r="B557"/>
      <c r="C557"/>
      <c r="D557" s="176" t="s">
        <v>1060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1:20" s="128" customFormat="1" outlineLevel="1" x14ac:dyDescent="0.25">
      <c r="A558"/>
      <c r="B558"/>
      <c r="C558"/>
      <c r="D558" s="176" t="s">
        <v>1013</v>
      </c>
      <c r="E558"/>
      <c r="F558"/>
      <c r="G558" t="s">
        <v>804</v>
      </c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1:20" s="128" customFormat="1" outlineLevel="1" x14ac:dyDescent="0.25">
      <c r="A559"/>
      <c r="B559"/>
      <c r="C559"/>
      <c r="D559" s="176" t="s">
        <v>1014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1:20" s="128" customFormat="1" outlineLevel="1" x14ac:dyDescent="0.25">
      <c r="A560"/>
      <c r="B560"/>
      <c r="C560"/>
      <c r="D560" s="176" t="s">
        <v>1061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1:21" s="128" customFormat="1" outlineLevel="1" x14ac:dyDescent="0.25">
      <c r="A561"/>
      <c r="B561"/>
      <c r="C561"/>
      <c r="D561" s="176" t="s">
        <v>1015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1:21" s="128" customFormat="1" outlineLevel="1" x14ac:dyDescent="0.25">
      <c r="A562"/>
      <c r="B562"/>
      <c r="C562"/>
      <c r="D562" s="176" t="s">
        <v>1016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1:21" s="128" customFormat="1" outlineLevel="1" x14ac:dyDescent="0.25">
      <c r="A563"/>
      <c r="B563"/>
      <c r="C563"/>
      <c r="D563" s="176" t="s">
        <v>1055</v>
      </c>
      <c r="E563"/>
      <c r="F563"/>
      <c r="G563"/>
      <c r="H563"/>
      <c r="I563"/>
      <c r="J563"/>
      <c r="K563"/>
      <c r="L563"/>
      <c r="M563" s="58" t="s">
        <v>1056</v>
      </c>
      <c r="N563"/>
      <c r="O563"/>
      <c r="P563"/>
      <c r="Q563"/>
      <c r="R563"/>
      <c r="S563"/>
      <c r="T563"/>
    </row>
    <row r="564" spans="1:21" s="128" customFormat="1" outlineLevel="1" x14ac:dyDescent="0.25">
      <c r="A564"/>
      <c r="B564"/>
      <c r="C564"/>
      <c r="D564" s="176" t="s">
        <v>1052</v>
      </c>
      <c r="E564"/>
      <c r="F564"/>
      <c r="G564"/>
      <c r="H564"/>
      <c r="I564"/>
      <c r="J564"/>
      <c r="K564"/>
      <c r="L564"/>
      <c r="M564" s="58" t="s">
        <v>1056</v>
      </c>
      <c r="N564"/>
      <c r="O564"/>
      <c r="P564"/>
      <c r="Q564"/>
      <c r="R564"/>
      <c r="S564"/>
      <c r="T564"/>
    </row>
    <row r="565" spans="1:21" s="128" customFormat="1" outlineLevel="1" x14ac:dyDescent="0.25">
      <c r="A565"/>
      <c r="B565"/>
      <c r="C565"/>
      <c r="D565" s="176" t="s">
        <v>1053</v>
      </c>
      <c r="E565"/>
      <c r="F565"/>
      <c r="G565"/>
      <c r="H565"/>
      <c r="I565"/>
      <c r="J565"/>
      <c r="K565"/>
      <c r="L565"/>
      <c r="M565" s="58" t="s">
        <v>1056</v>
      </c>
      <c r="N565"/>
      <c r="O565"/>
      <c r="P565"/>
      <c r="Q565"/>
      <c r="R565"/>
      <c r="S565"/>
      <c r="T565"/>
    </row>
    <row r="566" spans="1:21" s="128" customFormat="1" outlineLevel="1" x14ac:dyDescent="0.25">
      <c r="A566"/>
      <c r="B566"/>
      <c r="C566"/>
      <c r="D566" s="176" t="s">
        <v>1054</v>
      </c>
      <c r="E566"/>
      <c r="F566"/>
      <c r="G566"/>
      <c r="H566"/>
      <c r="I566"/>
      <c r="J566"/>
      <c r="K566"/>
      <c r="L566"/>
      <c r="M566" s="58" t="s">
        <v>1056</v>
      </c>
      <c r="N566"/>
      <c r="O566"/>
      <c r="P566"/>
      <c r="Q566"/>
      <c r="R566"/>
      <c r="S566"/>
      <c r="T566"/>
    </row>
    <row r="567" spans="1:21" s="128" customFormat="1" outlineLevel="1" x14ac:dyDescent="0.25">
      <c r="A567"/>
      <c r="B567"/>
      <c r="C567"/>
      <c r="D567" s="176" t="s">
        <v>1017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1:21" s="114" customFormat="1" x14ac:dyDescent="0.25">
      <c r="A568" s="118">
        <v>31</v>
      </c>
      <c r="B568" s="118" t="s">
        <v>686</v>
      </c>
      <c r="D568" s="115"/>
      <c r="E568" s="115"/>
    </row>
    <row r="569" spans="1:21" outlineLevel="1" x14ac:dyDescent="0.25">
      <c r="A569" s="138">
        <v>1</v>
      </c>
      <c r="B569" s="138"/>
      <c r="C569" s="167" t="s">
        <v>854</v>
      </c>
      <c r="D569" s="29" t="s">
        <v>855</v>
      </c>
      <c r="E569" s="29" t="s">
        <v>856</v>
      </c>
      <c r="F569" s="138"/>
      <c r="G569" s="52"/>
      <c r="H569" s="52"/>
      <c r="I569" s="52"/>
      <c r="J569" s="52"/>
      <c r="K569" s="29" t="str">
        <f>PROPER(F569)</f>
        <v/>
      </c>
      <c r="L569" s="147"/>
      <c r="M569" s="148"/>
      <c r="N569" s="52"/>
      <c r="P569" s="144"/>
      <c r="Q569" s="144" t="s">
        <v>857</v>
      </c>
      <c r="R569" s="144"/>
      <c r="S569" s="52"/>
      <c r="T569" s="52"/>
      <c r="U569" s="29" t="s">
        <v>858</v>
      </c>
    </row>
    <row r="570" spans="1:21" outlineLevel="1" x14ac:dyDescent="0.25">
      <c r="A570" s="138">
        <f>A569+1</f>
        <v>2</v>
      </c>
      <c r="B570" s="138"/>
      <c r="C570" s="167" t="s">
        <v>854</v>
      </c>
      <c r="D570" s="29" t="s">
        <v>855</v>
      </c>
      <c r="E570" s="29" t="s">
        <v>856</v>
      </c>
      <c r="F570" s="138"/>
      <c r="G570" s="52"/>
      <c r="H570" s="52"/>
      <c r="I570" s="52"/>
      <c r="J570" s="52"/>
      <c r="K570" s="29" t="str">
        <f t="shared" ref="K570:K633" si="24">PROPER(F570)</f>
        <v/>
      </c>
      <c r="L570" s="147"/>
      <c r="M570" s="148"/>
      <c r="N570" s="52"/>
      <c r="O570" s="52"/>
      <c r="P570" s="144"/>
      <c r="Q570" s="144" t="s">
        <v>857</v>
      </c>
      <c r="R570" s="144"/>
      <c r="S570" s="52"/>
      <c r="T570" s="52"/>
      <c r="U570" s="29" t="s">
        <v>859</v>
      </c>
    </row>
    <row r="571" spans="1:21" outlineLevel="1" x14ac:dyDescent="0.25">
      <c r="A571" s="138">
        <f t="shared" ref="A571:A634" si="25">A570+1</f>
        <v>3</v>
      </c>
      <c r="B571" s="138"/>
      <c r="C571" s="168" t="s">
        <v>860</v>
      </c>
      <c r="D571" s="29" t="s">
        <v>861</v>
      </c>
      <c r="E571" s="29" t="s">
        <v>862</v>
      </c>
      <c r="F571" s="138"/>
      <c r="G571" s="52"/>
      <c r="H571" s="52"/>
      <c r="I571" s="52"/>
      <c r="J571" s="52"/>
      <c r="K571" s="29" t="str">
        <f t="shared" si="24"/>
        <v/>
      </c>
      <c r="L571" s="149" t="s">
        <v>336</v>
      </c>
      <c r="M571" s="149" t="s">
        <v>117</v>
      </c>
      <c r="N571" s="52"/>
      <c r="O571" s="52"/>
      <c r="P571" s="139"/>
      <c r="Q571" s="139" t="s">
        <v>365</v>
      </c>
      <c r="R571" s="138"/>
      <c r="S571" s="52"/>
      <c r="T571" s="52"/>
      <c r="U571" s="29" t="s">
        <v>863</v>
      </c>
    </row>
    <row r="572" spans="1:21" outlineLevel="1" x14ac:dyDescent="0.25">
      <c r="A572" s="138">
        <f t="shared" si="25"/>
        <v>4</v>
      </c>
      <c r="B572" s="138"/>
      <c r="C572" s="138" t="s">
        <v>864</v>
      </c>
      <c r="D572" s="150" t="s">
        <v>865</v>
      </c>
      <c r="E572" s="151" t="s">
        <v>866</v>
      </c>
      <c r="F572" s="139"/>
      <c r="G572" s="52"/>
      <c r="H572" s="52"/>
      <c r="I572" s="52"/>
      <c r="J572" s="52"/>
      <c r="K572" s="29" t="str">
        <f t="shared" si="24"/>
        <v/>
      </c>
      <c r="L572" s="149" t="s">
        <v>335</v>
      </c>
      <c r="M572" s="152" t="s">
        <v>334</v>
      </c>
      <c r="N572" s="52"/>
      <c r="O572" s="52"/>
      <c r="P572" s="139"/>
      <c r="Q572" s="139" t="s">
        <v>365</v>
      </c>
      <c r="R572" s="139"/>
      <c r="S572" s="52"/>
      <c r="T572" s="52"/>
      <c r="U572" s="29" t="s">
        <v>867</v>
      </c>
    </row>
    <row r="573" spans="1:21" outlineLevel="1" x14ac:dyDescent="0.25">
      <c r="A573" s="138">
        <f t="shared" si="25"/>
        <v>5</v>
      </c>
      <c r="B573" s="138"/>
      <c r="C573" s="138" t="s">
        <v>864</v>
      </c>
      <c r="D573" s="150" t="s">
        <v>865</v>
      </c>
      <c r="E573" s="151" t="s">
        <v>866</v>
      </c>
      <c r="F573" s="139"/>
      <c r="G573" s="52"/>
      <c r="H573" s="52"/>
      <c r="I573" s="52"/>
      <c r="J573" s="52"/>
      <c r="K573" s="29" t="str">
        <f t="shared" si="24"/>
        <v/>
      </c>
      <c r="L573" s="149" t="s">
        <v>847</v>
      </c>
      <c r="M573" s="149" t="s">
        <v>848</v>
      </c>
      <c r="N573" s="52"/>
      <c r="O573" s="52"/>
      <c r="P573" s="139"/>
      <c r="Q573" s="139" t="s">
        <v>365</v>
      </c>
      <c r="R573" s="139"/>
      <c r="S573" s="52"/>
      <c r="T573" s="52"/>
      <c r="U573" s="29" t="s">
        <v>868</v>
      </c>
    </row>
    <row r="574" spans="1:21" outlineLevel="1" x14ac:dyDescent="0.25">
      <c r="A574" s="138">
        <f t="shared" si="25"/>
        <v>6</v>
      </c>
      <c r="B574" s="138"/>
      <c r="C574" s="138" t="s">
        <v>869</v>
      </c>
      <c r="D574" s="150" t="s">
        <v>865</v>
      </c>
      <c r="E574" s="151" t="s">
        <v>866</v>
      </c>
      <c r="F574" s="139"/>
      <c r="G574" s="52"/>
      <c r="H574" s="52"/>
      <c r="I574" s="52"/>
      <c r="J574" s="52"/>
      <c r="K574" s="29" t="str">
        <f t="shared" si="24"/>
        <v/>
      </c>
      <c r="L574" s="149" t="s">
        <v>870</v>
      </c>
      <c r="M574" s="153" t="s">
        <v>871</v>
      </c>
      <c r="N574" s="52"/>
      <c r="O574" s="52"/>
      <c r="P574" s="139"/>
      <c r="Q574" s="139" t="s">
        <v>365</v>
      </c>
      <c r="R574" s="154"/>
      <c r="S574" s="52"/>
      <c r="T574" s="52"/>
      <c r="U574" s="29" t="s">
        <v>872</v>
      </c>
    </row>
    <row r="575" spans="1:21" outlineLevel="1" x14ac:dyDescent="0.25">
      <c r="A575" s="138">
        <f t="shared" si="25"/>
        <v>7</v>
      </c>
      <c r="B575" s="139"/>
      <c r="C575" s="139" t="s">
        <v>864</v>
      </c>
      <c r="D575" s="150" t="s">
        <v>865</v>
      </c>
      <c r="E575" s="151" t="s">
        <v>866</v>
      </c>
      <c r="F575" s="139"/>
      <c r="G575" s="52"/>
      <c r="H575" s="52"/>
      <c r="I575" s="52"/>
      <c r="J575" s="52"/>
      <c r="K575" s="29" t="str">
        <f t="shared" si="24"/>
        <v/>
      </c>
      <c r="L575" s="149" t="s">
        <v>870</v>
      </c>
      <c r="M575" s="153" t="s">
        <v>871</v>
      </c>
      <c r="N575" s="52"/>
      <c r="O575" s="52"/>
      <c r="P575" s="139"/>
      <c r="Q575" s="139" t="s">
        <v>365</v>
      </c>
      <c r="R575" s="144"/>
      <c r="S575" s="52"/>
      <c r="T575" s="52"/>
      <c r="U575" s="29" t="s">
        <v>873</v>
      </c>
    </row>
    <row r="576" spans="1:21" outlineLevel="1" x14ac:dyDescent="0.25">
      <c r="A576" s="138">
        <f t="shared" si="25"/>
        <v>8</v>
      </c>
      <c r="B576" s="11"/>
      <c r="C576" s="11" t="s">
        <v>864</v>
      </c>
      <c r="D576" s="150" t="s">
        <v>865</v>
      </c>
      <c r="E576" s="151" t="s">
        <v>866</v>
      </c>
      <c r="F576" s="11"/>
      <c r="G576" s="52"/>
      <c r="H576" s="52"/>
      <c r="I576" s="52"/>
      <c r="J576" s="52"/>
      <c r="K576" s="29" t="str">
        <f t="shared" si="24"/>
        <v/>
      </c>
      <c r="L576" s="149" t="s">
        <v>847</v>
      </c>
      <c r="M576" s="153" t="s">
        <v>848</v>
      </c>
      <c r="N576" s="52"/>
      <c r="O576" s="52"/>
      <c r="P576" s="139"/>
      <c r="Q576" s="139" t="s">
        <v>365</v>
      </c>
      <c r="R576" s="154"/>
      <c r="S576" s="52"/>
      <c r="T576" s="52"/>
      <c r="U576" s="29" t="s">
        <v>874</v>
      </c>
    </row>
    <row r="577" spans="1:21" outlineLevel="1" x14ac:dyDescent="0.25">
      <c r="A577" s="138">
        <f t="shared" si="25"/>
        <v>9</v>
      </c>
      <c r="B577" s="11"/>
      <c r="C577" s="11" t="s">
        <v>864</v>
      </c>
      <c r="D577" s="150" t="s">
        <v>865</v>
      </c>
      <c r="E577" s="151" t="s">
        <v>866</v>
      </c>
      <c r="F577" s="11"/>
      <c r="G577" s="52"/>
      <c r="H577" s="52"/>
      <c r="I577" s="52"/>
      <c r="J577" s="52"/>
      <c r="K577" s="29" t="str">
        <f t="shared" si="24"/>
        <v/>
      </c>
      <c r="L577" s="151" t="s">
        <v>847</v>
      </c>
      <c r="M577" s="151" t="s">
        <v>848</v>
      </c>
      <c r="N577" s="52"/>
      <c r="O577" s="52"/>
      <c r="P577" s="139"/>
      <c r="Q577" s="139" t="s">
        <v>365</v>
      </c>
      <c r="R577" s="139"/>
      <c r="S577" s="52"/>
      <c r="T577" s="52"/>
      <c r="U577" s="29" t="s">
        <v>875</v>
      </c>
    </row>
    <row r="578" spans="1:21" outlineLevel="1" x14ac:dyDescent="0.25">
      <c r="A578" s="138">
        <f t="shared" si="25"/>
        <v>10</v>
      </c>
      <c r="B578" s="138"/>
      <c r="C578" s="138" t="s">
        <v>864</v>
      </c>
      <c r="D578" s="150" t="s">
        <v>865</v>
      </c>
      <c r="E578" s="151" t="s">
        <v>866</v>
      </c>
      <c r="F578" s="139"/>
      <c r="G578" s="52"/>
      <c r="H578" s="52"/>
      <c r="I578" s="52"/>
      <c r="J578" s="52"/>
      <c r="K578" s="29" t="str">
        <f t="shared" si="24"/>
        <v/>
      </c>
      <c r="L578" s="149" t="s">
        <v>324</v>
      </c>
      <c r="M578" s="153" t="s">
        <v>323</v>
      </c>
      <c r="N578" s="52"/>
      <c r="O578" s="52"/>
      <c r="P578" s="139"/>
      <c r="Q578" s="139" t="s">
        <v>365</v>
      </c>
      <c r="R578" s="139"/>
      <c r="S578" s="52"/>
      <c r="T578" s="52"/>
      <c r="U578" s="29" t="s">
        <v>322</v>
      </c>
    </row>
    <row r="579" spans="1:21" outlineLevel="1" x14ac:dyDescent="0.25">
      <c r="A579" s="138">
        <f t="shared" si="25"/>
        <v>11</v>
      </c>
      <c r="B579" s="10"/>
      <c r="C579" s="10" t="s">
        <v>876</v>
      </c>
      <c r="D579" s="150" t="s">
        <v>865</v>
      </c>
      <c r="E579" s="151" t="s">
        <v>866</v>
      </c>
      <c r="F579" s="11"/>
      <c r="G579" s="52"/>
      <c r="H579" s="52"/>
      <c r="I579" s="52"/>
      <c r="J579" s="52"/>
      <c r="K579" s="29" t="str">
        <f t="shared" si="24"/>
        <v/>
      </c>
      <c r="L579" s="151" t="s">
        <v>320</v>
      </c>
      <c r="M579" s="155" t="s">
        <v>319</v>
      </c>
      <c r="N579" s="52"/>
      <c r="O579" s="52"/>
      <c r="P579" s="139"/>
      <c r="Q579" s="139" t="s">
        <v>365</v>
      </c>
      <c r="R579" s="11"/>
      <c r="S579" s="52"/>
      <c r="T579" s="52"/>
      <c r="U579" s="29" t="s">
        <v>877</v>
      </c>
    </row>
    <row r="580" spans="1:21" outlineLevel="1" x14ac:dyDescent="0.25">
      <c r="A580" s="138">
        <f t="shared" si="25"/>
        <v>12</v>
      </c>
      <c r="B580" s="138"/>
      <c r="C580" s="138" t="s">
        <v>869</v>
      </c>
      <c r="D580" s="150" t="s">
        <v>865</v>
      </c>
      <c r="E580" s="151" t="s">
        <v>866</v>
      </c>
      <c r="F580" s="139"/>
      <c r="G580" s="52"/>
      <c r="H580" s="52"/>
      <c r="I580" s="52"/>
      <c r="J580" s="52"/>
      <c r="K580" s="29" t="str">
        <f t="shared" si="24"/>
        <v/>
      </c>
      <c r="L580" s="149" t="s">
        <v>316</v>
      </c>
      <c r="M580" s="149" t="s">
        <v>315</v>
      </c>
      <c r="N580" s="52"/>
      <c r="O580" s="52"/>
      <c r="P580" s="139"/>
      <c r="Q580" s="139" t="s">
        <v>365</v>
      </c>
      <c r="R580" s="139"/>
      <c r="S580" s="52"/>
      <c r="T580" s="52"/>
      <c r="U580" s="29" t="s">
        <v>878</v>
      </c>
    </row>
    <row r="581" spans="1:21" outlineLevel="1" x14ac:dyDescent="0.25">
      <c r="A581" s="138">
        <f t="shared" si="25"/>
        <v>13</v>
      </c>
      <c r="B581" s="138"/>
      <c r="C581" s="138" t="s">
        <v>869</v>
      </c>
      <c r="D581" s="150" t="s">
        <v>865</v>
      </c>
      <c r="E581" s="151" t="s">
        <v>866</v>
      </c>
      <c r="F581" s="139"/>
      <c r="G581" s="52"/>
      <c r="H581" s="52"/>
      <c r="I581" s="52"/>
      <c r="J581" s="52"/>
      <c r="K581" s="29" t="str">
        <f t="shared" si="24"/>
        <v/>
      </c>
      <c r="L581" s="149" t="s">
        <v>312</v>
      </c>
      <c r="M581" s="153" t="s">
        <v>311</v>
      </c>
      <c r="N581" s="52"/>
      <c r="O581" s="52"/>
      <c r="P581" s="139"/>
      <c r="Q581" s="139" t="s">
        <v>365</v>
      </c>
      <c r="R581" s="138"/>
      <c r="S581" s="52"/>
      <c r="T581" s="52"/>
      <c r="U581" s="29" t="s">
        <v>879</v>
      </c>
    </row>
    <row r="582" spans="1:21" outlineLevel="1" x14ac:dyDescent="0.25">
      <c r="A582" s="138">
        <f t="shared" si="25"/>
        <v>14</v>
      </c>
      <c r="B582" s="138"/>
      <c r="C582" s="138" t="s">
        <v>880</v>
      </c>
      <c r="D582" s="29" t="s">
        <v>865</v>
      </c>
      <c r="E582" s="151" t="s">
        <v>866</v>
      </c>
      <c r="F582" s="139"/>
      <c r="G582" s="52"/>
      <c r="H582" s="52"/>
      <c r="I582" s="52"/>
      <c r="J582" s="52"/>
      <c r="K582" s="29" t="str">
        <f t="shared" si="24"/>
        <v/>
      </c>
      <c r="L582" s="149" t="s">
        <v>307</v>
      </c>
      <c r="M582" s="153" t="s">
        <v>306</v>
      </c>
      <c r="N582" s="52"/>
      <c r="O582" s="52"/>
      <c r="P582" s="139"/>
      <c r="Q582" s="139" t="s">
        <v>365</v>
      </c>
      <c r="R582" s="138"/>
      <c r="S582" s="52"/>
      <c r="T582" s="52"/>
      <c r="U582" s="29" t="s">
        <v>881</v>
      </c>
    </row>
    <row r="583" spans="1:21" outlineLevel="1" x14ac:dyDescent="0.25">
      <c r="A583" s="138">
        <f t="shared" si="25"/>
        <v>15</v>
      </c>
      <c r="B583" s="138"/>
      <c r="C583" s="138" t="s">
        <v>880</v>
      </c>
      <c r="D583" s="29" t="s">
        <v>865</v>
      </c>
      <c r="E583" s="151" t="s">
        <v>866</v>
      </c>
      <c r="F583" s="139"/>
      <c r="G583" s="52"/>
      <c r="H583" s="52"/>
      <c r="I583" s="52"/>
      <c r="J583" s="52"/>
      <c r="K583" s="29" t="str">
        <f t="shared" si="24"/>
        <v/>
      </c>
      <c r="L583" s="149" t="s">
        <v>302</v>
      </c>
      <c r="M583" s="153" t="s">
        <v>301</v>
      </c>
      <c r="N583" s="52"/>
      <c r="O583" s="52"/>
      <c r="P583" s="139"/>
      <c r="Q583" s="139" t="s">
        <v>365</v>
      </c>
      <c r="R583" s="138"/>
      <c r="S583" s="52"/>
      <c r="T583" s="52"/>
      <c r="U583" s="29" t="s">
        <v>882</v>
      </c>
    </row>
    <row r="584" spans="1:21" outlineLevel="1" x14ac:dyDescent="0.25">
      <c r="A584" s="138">
        <f t="shared" si="25"/>
        <v>16</v>
      </c>
      <c r="B584" s="138"/>
      <c r="C584" s="138" t="s">
        <v>854</v>
      </c>
      <c r="D584" s="29" t="s">
        <v>883</v>
      </c>
      <c r="E584" s="29" t="s">
        <v>884</v>
      </c>
      <c r="F584" s="138"/>
      <c r="G584" s="52"/>
      <c r="H584" s="52"/>
      <c r="I584" s="52"/>
      <c r="J584" s="52"/>
      <c r="K584" s="29" t="str">
        <f t="shared" si="24"/>
        <v/>
      </c>
      <c r="L584" s="147" t="s">
        <v>293</v>
      </c>
      <c r="M584" s="156" t="s">
        <v>292</v>
      </c>
      <c r="N584" s="52"/>
      <c r="O584" s="52"/>
      <c r="P584" s="139"/>
      <c r="Q584" s="139" t="s">
        <v>365</v>
      </c>
      <c r="R584" s="139"/>
      <c r="S584" s="52"/>
      <c r="T584" s="52"/>
      <c r="U584" s="29" t="s">
        <v>885</v>
      </c>
    </row>
    <row r="585" spans="1:21" outlineLevel="1" x14ac:dyDescent="0.25">
      <c r="A585" s="138">
        <f t="shared" si="25"/>
        <v>17</v>
      </c>
      <c r="B585" s="138"/>
      <c r="C585" s="138" t="s">
        <v>854</v>
      </c>
      <c r="D585" s="29" t="s">
        <v>883</v>
      </c>
      <c r="E585" s="29" t="s">
        <v>884</v>
      </c>
      <c r="F585" s="138"/>
      <c r="G585" s="52"/>
      <c r="H585" s="52"/>
      <c r="I585" s="52"/>
      <c r="J585" s="52"/>
      <c r="K585" s="29" t="str">
        <f t="shared" si="24"/>
        <v/>
      </c>
      <c r="L585" s="147" t="s">
        <v>293</v>
      </c>
      <c r="M585" s="156" t="s">
        <v>292</v>
      </c>
      <c r="N585" s="52"/>
      <c r="O585" s="52"/>
      <c r="P585" s="139"/>
      <c r="Q585" s="139" t="s">
        <v>365</v>
      </c>
      <c r="R585" s="139"/>
      <c r="S585" s="52"/>
      <c r="T585" s="52"/>
      <c r="U585" s="29" t="s">
        <v>886</v>
      </c>
    </row>
    <row r="586" spans="1:21" outlineLevel="1" x14ac:dyDescent="0.25">
      <c r="A586" s="138">
        <f t="shared" si="25"/>
        <v>18</v>
      </c>
      <c r="B586" s="138"/>
      <c r="C586" s="138" t="s">
        <v>854</v>
      </c>
      <c r="D586" s="29" t="s">
        <v>883</v>
      </c>
      <c r="E586" s="29" t="s">
        <v>884</v>
      </c>
      <c r="F586" s="138"/>
      <c r="G586" s="52"/>
      <c r="H586" s="52"/>
      <c r="I586" s="52"/>
      <c r="J586" s="52"/>
      <c r="K586" s="29" t="str">
        <f t="shared" si="24"/>
        <v/>
      </c>
      <c r="L586" s="157" t="s">
        <v>293</v>
      </c>
      <c r="M586" s="156" t="s">
        <v>292</v>
      </c>
      <c r="N586" s="52"/>
      <c r="O586" s="52"/>
      <c r="P586" s="144"/>
      <c r="Q586" s="144" t="s">
        <v>857</v>
      </c>
      <c r="R586" s="144"/>
      <c r="S586" s="52"/>
      <c r="T586" s="52"/>
      <c r="U586" s="29" t="s">
        <v>887</v>
      </c>
    </row>
    <row r="587" spans="1:21" outlineLevel="1" x14ac:dyDescent="0.25">
      <c r="A587" s="138">
        <f t="shared" si="25"/>
        <v>19</v>
      </c>
      <c r="B587" s="138"/>
      <c r="C587" s="138" t="s">
        <v>854</v>
      </c>
      <c r="D587" s="29" t="s">
        <v>883</v>
      </c>
      <c r="E587" s="29" t="s">
        <v>888</v>
      </c>
      <c r="F587" s="138"/>
      <c r="G587" s="52"/>
      <c r="H587" s="52"/>
      <c r="I587" s="52"/>
      <c r="J587" s="52"/>
      <c r="K587" s="29" t="str">
        <f t="shared" si="24"/>
        <v/>
      </c>
      <c r="L587" s="143" t="s">
        <v>287</v>
      </c>
      <c r="M587" s="143" t="s">
        <v>286</v>
      </c>
      <c r="N587" s="52"/>
      <c r="O587" s="52"/>
      <c r="P587" s="144"/>
      <c r="Q587" s="144" t="s">
        <v>857</v>
      </c>
      <c r="R587" s="144"/>
      <c r="S587" s="52"/>
      <c r="T587" s="52"/>
      <c r="U587" s="29" t="s">
        <v>889</v>
      </c>
    </row>
    <row r="588" spans="1:21" outlineLevel="1" x14ac:dyDescent="0.25">
      <c r="A588" s="138">
        <f t="shared" si="25"/>
        <v>20</v>
      </c>
      <c r="B588" s="138"/>
      <c r="C588" s="138" t="s">
        <v>890</v>
      </c>
      <c r="D588" s="29" t="s">
        <v>223</v>
      </c>
      <c r="E588" s="29" t="s">
        <v>891</v>
      </c>
      <c r="F588" s="138"/>
      <c r="G588" s="52"/>
      <c r="H588" s="52"/>
      <c r="I588" s="52"/>
      <c r="J588" s="52"/>
      <c r="K588" s="29" t="str">
        <f t="shared" si="24"/>
        <v/>
      </c>
      <c r="L588" s="147" t="s">
        <v>283</v>
      </c>
      <c r="M588" s="148"/>
      <c r="N588" s="52"/>
      <c r="O588" s="52"/>
      <c r="P588" s="139"/>
      <c r="Q588" s="139" t="s">
        <v>365</v>
      </c>
      <c r="R588" s="138"/>
      <c r="S588" s="52"/>
      <c r="T588" s="52"/>
      <c r="U588" s="29" t="s">
        <v>863</v>
      </c>
    </row>
    <row r="589" spans="1:21" outlineLevel="1" x14ac:dyDescent="0.25">
      <c r="A589" s="138">
        <f t="shared" si="25"/>
        <v>21</v>
      </c>
      <c r="B589" s="138"/>
      <c r="C589" s="138" t="s">
        <v>854</v>
      </c>
      <c r="D589" s="29" t="s">
        <v>892</v>
      </c>
      <c r="E589" s="29" t="s">
        <v>893</v>
      </c>
      <c r="F589" s="142"/>
      <c r="G589" s="52"/>
      <c r="H589" s="52"/>
      <c r="I589" s="52"/>
      <c r="J589" s="52"/>
      <c r="K589" s="29" t="str">
        <f t="shared" si="24"/>
        <v/>
      </c>
      <c r="L589" s="147" t="s">
        <v>278</v>
      </c>
      <c r="M589" s="156"/>
      <c r="N589" s="52"/>
      <c r="O589" s="52"/>
      <c r="P589" s="139"/>
      <c r="Q589" s="139" t="s">
        <v>365</v>
      </c>
      <c r="R589" s="138"/>
      <c r="S589" s="52"/>
      <c r="T589" s="52"/>
      <c r="U589" s="29" t="s">
        <v>863</v>
      </c>
    </row>
    <row r="590" spans="1:21" outlineLevel="1" x14ac:dyDescent="0.25">
      <c r="A590" s="138">
        <f t="shared" si="25"/>
        <v>22</v>
      </c>
      <c r="B590" s="140"/>
      <c r="C590" s="140" t="s">
        <v>894</v>
      </c>
      <c r="D590" s="29" t="s">
        <v>895</v>
      </c>
      <c r="E590" s="151" t="s">
        <v>896</v>
      </c>
      <c r="F590" s="139"/>
      <c r="G590" s="52"/>
      <c r="H590" s="52"/>
      <c r="I590" s="52"/>
      <c r="J590" s="52"/>
      <c r="K590" s="29" t="str">
        <f t="shared" si="24"/>
        <v/>
      </c>
      <c r="L590" s="158" t="s">
        <v>276</v>
      </c>
      <c r="M590" s="159"/>
      <c r="N590" s="52"/>
      <c r="O590" s="52"/>
      <c r="P590" s="139"/>
      <c r="Q590" s="139" t="s">
        <v>857</v>
      </c>
      <c r="R590" s="138"/>
      <c r="S590" s="52"/>
      <c r="T590" s="52"/>
      <c r="U590" s="29" t="s">
        <v>275</v>
      </c>
    </row>
    <row r="591" spans="1:21" outlineLevel="1" x14ac:dyDescent="0.25">
      <c r="A591" s="138">
        <f t="shared" si="25"/>
        <v>23</v>
      </c>
      <c r="B591" s="138"/>
      <c r="C591" s="138" t="s">
        <v>897</v>
      </c>
      <c r="D591" s="29" t="s">
        <v>895</v>
      </c>
      <c r="E591" s="151" t="s">
        <v>896</v>
      </c>
      <c r="F591" s="139"/>
      <c r="G591" s="52"/>
      <c r="H591" s="52"/>
      <c r="I591" s="52"/>
      <c r="J591" s="52"/>
      <c r="K591" s="29" t="str">
        <f t="shared" si="24"/>
        <v/>
      </c>
      <c r="L591" s="158" t="s">
        <v>272</v>
      </c>
      <c r="M591" s="159"/>
      <c r="N591" s="52"/>
      <c r="O591" s="52"/>
      <c r="P591" s="139"/>
      <c r="Q591" s="139" t="s">
        <v>857</v>
      </c>
      <c r="R591" s="138"/>
      <c r="S591" s="52"/>
      <c r="T591" s="52"/>
      <c r="U591" s="29" t="s">
        <v>898</v>
      </c>
    </row>
    <row r="592" spans="1:21" outlineLevel="1" x14ac:dyDescent="0.25">
      <c r="A592" s="138">
        <f t="shared" si="25"/>
        <v>24</v>
      </c>
      <c r="B592" s="139"/>
      <c r="C592" s="139" t="s">
        <v>897</v>
      </c>
      <c r="D592" s="29" t="s">
        <v>895</v>
      </c>
      <c r="E592" s="151" t="s">
        <v>896</v>
      </c>
      <c r="F592" s="139"/>
      <c r="G592" s="52"/>
      <c r="H592" s="52"/>
      <c r="I592" s="52"/>
      <c r="J592" s="52"/>
      <c r="K592" s="29" t="str">
        <f t="shared" si="24"/>
        <v/>
      </c>
      <c r="L592" s="158" t="s">
        <v>268</v>
      </c>
      <c r="M592" s="159"/>
      <c r="N592" s="52"/>
      <c r="O592" s="52"/>
      <c r="P592" s="139"/>
      <c r="Q592" s="139" t="s">
        <v>857</v>
      </c>
      <c r="R592" s="138"/>
      <c r="S592" s="52"/>
      <c r="T592" s="52"/>
      <c r="U592" s="29" t="s">
        <v>899</v>
      </c>
    </row>
    <row r="593" spans="1:21" outlineLevel="1" x14ac:dyDescent="0.25">
      <c r="A593" s="138">
        <f t="shared" si="25"/>
        <v>25</v>
      </c>
      <c r="B593" s="139"/>
      <c r="C593" s="139" t="s">
        <v>854</v>
      </c>
      <c r="D593" s="29" t="s">
        <v>895</v>
      </c>
      <c r="E593" s="151" t="s">
        <v>900</v>
      </c>
      <c r="F593" s="139"/>
      <c r="G593" s="52"/>
      <c r="H593" s="52"/>
      <c r="I593" s="52"/>
      <c r="J593" s="52"/>
      <c r="K593" s="29" t="str">
        <f t="shared" si="24"/>
        <v/>
      </c>
      <c r="L593" s="158" t="s">
        <v>262</v>
      </c>
      <c r="M593" s="159"/>
      <c r="N593" s="52"/>
      <c r="O593" s="52"/>
      <c r="P593" s="139"/>
      <c r="Q593" s="139" t="s">
        <v>365</v>
      </c>
      <c r="R593" s="138"/>
      <c r="S593" s="52"/>
      <c r="T593" s="52"/>
      <c r="U593" s="29" t="s">
        <v>901</v>
      </c>
    </row>
    <row r="594" spans="1:21" outlineLevel="1" x14ac:dyDescent="0.25">
      <c r="A594" s="138">
        <f t="shared" si="25"/>
        <v>26</v>
      </c>
      <c r="B594" s="139"/>
      <c r="C594" s="139" t="s">
        <v>854</v>
      </c>
      <c r="D594" s="29" t="s">
        <v>902</v>
      </c>
      <c r="E594" s="29" t="s">
        <v>903</v>
      </c>
      <c r="F594" s="138"/>
      <c r="G594" s="52"/>
      <c r="H594" s="52"/>
      <c r="I594" s="52"/>
      <c r="J594" s="52"/>
      <c r="K594" s="29" t="str">
        <f t="shared" si="24"/>
        <v/>
      </c>
      <c r="L594" s="147" t="s">
        <v>258</v>
      </c>
      <c r="M594" s="147" t="s">
        <v>257</v>
      </c>
      <c r="N594" s="52"/>
      <c r="O594" s="52"/>
      <c r="P594" s="139"/>
      <c r="Q594" s="139" t="s">
        <v>365</v>
      </c>
      <c r="R594" s="138"/>
      <c r="S594" s="52"/>
      <c r="T594" s="52"/>
      <c r="U594" s="29" t="s">
        <v>863</v>
      </c>
    </row>
    <row r="595" spans="1:21" outlineLevel="1" x14ac:dyDescent="0.25">
      <c r="A595" s="138">
        <f t="shared" si="25"/>
        <v>27</v>
      </c>
      <c r="B595" s="139"/>
      <c r="C595" s="139" t="s">
        <v>716</v>
      </c>
      <c r="D595" s="29" t="s">
        <v>902</v>
      </c>
      <c r="E595" s="29" t="s">
        <v>904</v>
      </c>
      <c r="F595" s="138"/>
      <c r="G595" s="52"/>
      <c r="H595" s="52"/>
      <c r="I595" s="52"/>
      <c r="J595" s="52"/>
      <c r="K595" s="29" t="str">
        <f t="shared" si="24"/>
        <v/>
      </c>
      <c r="L595" s="147" t="s">
        <v>253</v>
      </c>
      <c r="M595" s="147" t="s">
        <v>252</v>
      </c>
      <c r="N595" s="52"/>
      <c r="O595" s="52"/>
      <c r="P595" s="139"/>
      <c r="Q595" s="139" t="s">
        <v>365</v>
      </c>
      <c r="R595" s="139"/>
      <c r="S595" s="52"/>
      <c r="T595" s="52"/>
      <c r="U595" s="29" t="s">
        <v>863</v>
      </c>
    </row>
    <row r="596" spans="1:21" outlineLevel="1" x14ac:dyDescent="0.25">
      <c r="A596" s="138">
        <f t="shared" si="25"/>
        <v>28</v>
      </c>
      <c r="B596" s="139"/>
      <c r="C596" s="139" t="s">
        <v>905</v>
      </c>
      <c r="D596" s="29" t="s">
        <v>43</v>
      </c>
      <c r="E596" s="29" t="s">
        <v>906</v>
      </c>
      <c r="F596" s="138"/>
      <c r="G596" s="52"/>
      <c r="H596" s="52"/>
      <c r="I596" s="52"/>
      <c r="J596" s="52"/>
      <c r="K596" s="29" t="str">
        <f t="shared" si="24"/>
        <v/>
      </c>
      <c r="L596" s="147" t="s">
        <v>249</v>
      </c>
      <c r="M596" s="153" t="s">
        <v>248</v>
      </c>
      <c r="N596" s="52"/>
      <c r="O596" s="52"/>
      <c r="P596" s="139"/>
      <c r="Q596" s="139" t="s">
        <v>365</v>
      </c>
      <c r="R596" s="138"/>
      <c r="S596" s="52"/>
      <c r="T596" s="52"/>
      <c r="U596" s="29" t="s">
        <v>907</v>
      </c>
    </row>
    <row r="597" spans="1:21" outlineLevel="1" x14ac:dyDescent="0.25">
      <c r="A597" s="138">
        <f t="shared" si="25"/>
        <v>29</v>
      </c>
      <c r="B597" s="139"/>
      <c r="C597" s="139" t="s">
        <v>854</v>
      </c>
      <c r="D597" s="29" t="s">
        <v>908</v>
      </c>
      <c r="E597" s="29" t="s">
        <v>909</v>
      </c>
      <c r="F597" s="142"/>
      <c r="G597" s="52"/>
      <c r="H597" s="52"/>
      <c r="I597" s="52"/>
      <c r="J597" s="52"/>
      <c r="K597" s="29" t="str">
        <f t="shared" si="24"/>
        <v/>
      </c>
      <c r="L597" s="147" t="s">
        <v>243</v>
      </c>
      <c r="M597" s="153" t="s">
        <v>242</v>
      </c>
      <c r="N597" s="52"/>
      <c r="O597" s="52"/>
      <c r="P597" s="144"/>
      <c r="Q597" s="144" t="s">
        <v>857</v>
      </c>
      <c r="R597" s="144"/>
      <c r="S597" s="52"/>
      <c r="T597" s="52"/>
      <c r="U597" s="29" t="s">
        <v>910</v>
      </c>
    </row>
    <row r="598" spans="1:21" outlineLevel="1" x14ac:dyDescent="0.25">
      <c r="A598" s="138">
        <f t="shared" si="25"/>
        <v>30</v>
      </c>
      <c r="B598" s="138"/>
      <c r="C598" s="138" t="s">
        <v>911</v>
      </c>
      <c r="D598" s="29" t="s">
        <v>239</v>
      </c>
      <c r="E598" s="151" t="s">
        <v>912</v>
      </c>
      <c r="F598" s="139"/>
      <c r="G598" s="52"/>
      <c r="H598" s="52"/>
      <c r="I598" s="52"/>
      <c r="J598" s="52"/>
      <c r="K598" s="29" t="str">
        <f t="shared" si="24"/>
        <v/>
      </c>
      <c r="L598" s="158" t="s">
        <v>237</v>
      </c>
      <c r="M598" s="153" t="s">
        <v>236</v>
      </c>
      <c r="N598" s="52"/>
      <c r="O598" s="52"/>
      <c r="P598" s="139"/>
      <c r="Q598" s="139" t="s">
        <v>365</v>
      </c>
      <c r="R598" s="138"/>
      <c r="S598" s="52"/>
      <c r="T598" s="52"/>
      <c r="U598" s="29" t="s">
        <v>863</v>
      </c>
    </row>
    <row r="599" spans="1:21" outlineLevel="1" x14ac:dyDescent="0.25">
      <c r="A599" s="138">
        <f t="shared" si="25"/>
        <v>31</v>
      </c>
      <c r="B599" s="138"/>
      <c r="C599" s="138" t="s">
        <v>854</v>
      </c>
      <c r="D599" s="29" t="s">
        <v>913</v>
      </c>
      <c r="E599" s="29" t="s">
        <v>914</v>
      </c>
      <c r="F599" s="138"/>
      <c r="G599" s="52"/>
      <c r="H599" s="52"/>
      <c r="I599" s="52"/>
      <c r="J599" s="52"/>
      <c r="K599" s="29" t="str">
        <f t="shared" si="24"/>
        <v/>
      </c>
      <c r="L599" s="160" t="s">
        <v>849</v>
      </c>
      <c r="M599" s="161" t="s">
        <v>848</v>
      </c>
      <c r="N599" s="52"/>
      <c r="O599" s="52"/>
      <c r="P599" s="139"/>
      <c r="Q599" s="139" t="s">
        <v>365</v>
      </c>
      <c r="R599" s="138"/>
      <c r="S599" s="52"/>
      <c r="T599" s="52"/>
      <c r="U599" s="29" t="s">
        <v>915</v>
      </c>
    </row>
    <row r="600" spans="1:21" outlineLevel="1" x14ac:dyDescent="0.25">
      <c r="A600" s="138">
        <f t="shared" si="25"/>
        <v>32</v>
      </c>
      <c r="B600" s="138"/>
      <c r="C600" s="138" t="s">
        <v>854</v>
      </c>
      <c r="D600" s="29" t="s">
        <v>916</v>
      </c>
      <c r="E600" s="29" t="s">
        <v>917</v>
      </c>
      <c r="F600" s="138"/>
      <c r="G600" s="52"/>
      <c r="H600" s="52"/>
      <c r="I600" s="52"/>
      <c r="J600" s="52"/>
      <c r="K600" s="29" t="str">
        <f t="shared" si="24"/>
        <v/>
      </c>
      <c r="L600" s="147" t="s">
        <v>229</v>
      </c>
      <c r="M600" s="147" t="s">
        <v>228</v>
      </c>
      <c r="N600" s="52"/>
      <c r="O600" s="52"/>
      <c r="P600" s="139"/>
      <c r="Q600" s="139" t="s">
        <v>365</v>
      </c>
      <c r="R600" s="138"/>
      <c r="S600" s="52"/>
      <c r="T600" s="52"/>
      <c r="U600" s="29" t="s">
        <v>863</v>
      </c>
    </row>
    <row r="601" spans="1:21" outlineLevel="1" x14ac:dyDescent="0.25">
      <c r="A601" s="138">
        <f t="shared" si="25"/>
        <v>33</v>
      </c>
      <c r="B601" s="138"/>
      <c r="C601" s="138" t="s">
        <v>854</v>
      </c>
      <c r="D601" s="29" t="s">
        <v>913</v>
      </c>
      <c r="E601" s="29" t="s">
        <v>918</v>
      </c>
      <c r="F601" s="138"/>
      <c r="G601" s="52"/>
      <c r="H601" s="52"/>
      <c r="I601" s="52"/>
      <c r="J601" s="52"/>
      <c r="K601" s="29" t="str">
        <f t="shared" si="24"/>
        <v/>
      </c>
      <c r="L601" s="147" t="s">
        <v>127</v>
      </c>
      <c r="M601" s="153" t="s">
        <v>225</v>
      </c>
      <c r="N601" s="52"/>
      <c r="O601" s="52"/>
      <c r="P601" s="139"/>
      <c r="Q601" s="139" t="s">
        <v>365</v>
      </c>
      <c r="R601" s="138"/>
      <c r="S601" s="52"/>
      <c r="T601" s="52"/>
      <c r="U601" s="29" t="s">
        <v>112</v>
      </c>
    </row>
    <row r="602" spans="1:21" outlineLevel="1" x14ac:dyDescent="0.25">
      <c r="A602" s="138">
        <f t="shared" si="25"/>
        <v>34</v>
      </c>
      <c r="B602" s="138"/>
      <c r="C602" s="138" t="s">
        <v>919</v>
      </c>
      <c r="D602" s="29" t="s">
        <v>916</v>
      </c>
      <c r="E602" s="29" t="s">
        <v>920</v>
      </c>
      <c r="F602" s="138"/>
      <c r="G602" s="52"/>
      <c r="H602" s="52"/>
      <c r="I602" s="52"/>
      <c r="J602" s="52"/>
      <c r="K602" s="29" t="str">
        <f t="shared" si="24"/>
        <v/>
      </c>
      <c r="L602" s="147" t="s">
        <v>221</v>
      </c>
      <c r="M602" s="147" t="s">
        <v>220</v>
      </c>
      <c r="N602" s="52"/>
      <c r="O602" s="52"/>
      <c r="P602" s="139"/>
      <c r="Q602" s="139" t="s">
        <v>365</v>
      </c>
      <c r="R602" s="138"/>
      <c r="S602" s="52"/>
      <c r="T602" s="52"/>
      <c r="U602" s="29" t="s">
        <v>863</v>
      </c>
    </row>
    <row r="603" spans="1:21" outlineLevel="1" x14ac:dyDescent="0.25">
      <c r="A603" s="138">
        <f t="shared" si="25"/>
        <v>35</v>
      </c>
      <c r="B603" s="139"/>
      <c r="C603" s="139" t="s">
        <v>477</v>
      </c>
      <c r="D603" s="29" t="s">
        <v>921</v>
      </c>
      <c r="E603" s="151" t="s">
        <v>922</v>
      </c>
      <c r="F603" s="139"/>
      <c r="G603" s="52"/>
      <c r="H603" s="52"/>
      <c r="I603" s="52"/>
      <c r="J603" s="52"/>
      <c r="K603" s="29" t="str">
        <f t="shared" si="24"/>
        <v/>
      </c>
      <c r="L603" s="158" t="s">
        <v>216</v>
      </c>
      <c r="M603" s="153" t="s">
        <v>215</v>
      </c>
      <c r="N603" s="52"/>
      <c r="O603" s="52"/>
      <c r="P603" s="139"/>
      <c r="Q603" s="139" t="s">
        <v>365</v>
      </c>
      <c r="R603" s="138"/>
      <c r="S603" s="52"/>
      <c r="T603" s="52"/>
      <c r="U603" s="29" t="s">
        <v>112</v>
      </c>
    </row>
    <row r="604" spans="1:21" outlineLevel="1" x14ac:dyDescent="0.25">
      <c r="A604" s="138">
        <f t="shared" si="25"/>
        <v>36</v>
      </c>
      <c r="B604" s="138"/>
      <c r="C604" s="138" t="s">
        <v>854</v>
      </c>
      <c r="D604" s="29" t="s">
        <v>913</v>
      </c>
      <c r="E604" s="29" t="s">
        <v>923</v>
      </c>
      <c r="F604" s="138"/>
      <c r="G604" s="52"/>
      <c r="H604" s="52"/>
      <c r="I604" s="52"/>
      <c r="J604" s="52"/>
      <c r="K604" s="29" t="str">
        <f t="shared" si="24"/>
        <v/>
      </c>
      <c r="L604" s="147" t="s">
        <v>209</v>
      </c>
      <c r="M604" s="156"/>
      <c r="N604" s="52"/>
      <c r="O604" s="52"/>
      <c r="P604" s="139"/>
      <c r="Q604" s="139" t="s">
        <v>365</v>
      </c>
      <c r="R604" s="138"/>
      <c r="S604" s="52"/>
      <c r="T604" s="52"/>
      <c r="U604" s="29" t="s">
        <v>112</v>
      </c>
    </row>
    <row r="605" spans="1:21" outlineLevel="1" x14ac:dyDescent="0.25">
      <c r="A605" s="138">
        <f t="shared" si="25"/>
        <v>37</v>
      </c>
      <c r="B605" s="139"/>
      <c r="C605" s="139" t="s">
        <v>854</v>
      </c>
      <c r="D605" s="29" t="s">
        <v>921</v>
      </c>
      <c r="E605" s="151" t="s">
        <v>924</v>
      </c>
      <c r="F605" s="139"/>
      <c r="G605" s="52"/>
      <c r="H605" s="52"/>
      <c r="I605" s="52"/>
      <c r="J605" s="52"/>
      <c r="K605" s="29" t="str">
        <f t="shared" si="24"/>
        <v/>
      </c>
      <c r="L605" s="158" t="s">
        <v>206</v>
      </c>
      <c r="M605" s="153" t="s">
        <v>205</v>
      </c>
      <c r="N605" s="52"/>
      <c r="O605" s="52"/>
      <c r="P605" s="139"/>
      <c r="Q605" s="139" t="s">
        <v>365</v>
      </c>
      <c r="R605" s="138"/>
      <c r="S605" s="52"/>
      <c r="T605" s="52"/>
      <c r="U605" s="29" t="s">
        <v>863</v>
      </c>
    </row>
    <row r="606" spans="1:21" outlineLevel="1" x14ac:dyDescent="0.25">
      <c r="A606" s="138">
        <f t="shared" si="25"/>
        <v>38</v>
      </c>
      <c r="B606" s="138"/>
      <c r="C606" s="138" t="s">
        <v>860</v>
      </c>
      <c r="D606" s="29" t="s">
        <v>925</v>
      </c>
      <c r="E606" s="151" t="s">
        <v>926</v>
      </c>
      <c r="F606" s="139"/>
      <c r="G606" s="52"/>
      <c r="H606" s="52"/>
      <c r="I606" s="52"/>
      <c r="J606" s="52"/>
      <c r="K606" s="29" t="str">
        <f t="shared" si="24"/>
        <v/>
      </c>
      <c r="L606" s="158" t="s">
        <v>202</v>
      </c>
      <c r="M606" s="153" t="s">
        <v>201</v>
      </c>
      <c r="N606" s="52"/>
      <c r="O606" s="52"/>
      <c r="P606" s="139"/>
      <c r="Q606" s="139" t="s">
        <v>365</v>
      </c>
      <c r="R606" s="138"/>
      <c r="S606" s="52"/>
      <c r="T606" s="52"/>
      <c r="U606" s="29" t="s">
        <v>927</v>
      </c>
    </row>
    <row r="607" spans="1:21" outlineLevel="1" x14ac:dyDescent="0.25">
      <c r="A607" s="138">
        <f t="shared" si="25"/>
        <v>39</v>
      </c>
      <c r="B607" s="138"/>
      <c r="C607" s="138" t="s">
        <v>854</v>
      </c>
      <c r="D607" s="29" t="s">
        <v>921</v>
      </c>
      <c r="E607" s="151" t="s">
        <v>928</v>
      </c>
      <c r="F607" s="139"/>
      <c r="G607" s="52"/>
      <c r="H607" s="52"/>
      <c r="I607" s="52"/>
      <c r="J607" s="52"/>
      <c r="K607" s="29" t="str">
        <f t="shared" si="24"/>
        <v/>
      </c>
      <c r="L607" s="158" t="s">
        <v>196</v>
      </c>
      <c r="M607" s="153" t="s">
        <v>195</v>
      </c>
      <c r="N607" s="52"/>
      <c r="O607" s="52"/>
      <c r="P607" s="139"/>
      <c r="Q607" s="139" t="s">
        <v>365</v>
      </c>
      <c r="R607" s="138"/>
      <c r="S607" s="52"/>
      <c r="T607" s="52"/>
      <c r="U607" s="29" t="s">
        <v>863</v>
      </c>
    </row>
    <row r="608" spans="1:21" outlineLevel="1" x14ac:dyDescent="0.25">
      <c r="A608" s="138">
        <f t="shared" si="25"/>
        <v>40</v>
      </c>
      <c r="B608" s="138"/>
      <c r="C608" s="138" t="s">
        <v>854</v>
      </c>
      <c r="D608" s="29" t="s">
        <v>929</v>
      </c>
      <c r="E608" s="151" t="s">
        <v>930</v>
      </c>
      <c r="F608" s="139"/>
      <c r="G608" s="52"/>
      <c r="H608" s="52"/>
      <c r="I608" s="52"/>
      <c r="J608" s="52"/>
      <c r="K608" s="29" t="str">
        <f t="shared" si="24"/>
        <v/>
      </c>
      <c r="L608" s="162"/>
      <c r="M608" s="148"/>
      <c r="N608" s="52"/>
      <c r="O608" s="52"/>
      <c r="P608" s="139"/>
      <c r="Q608" s="139" t="s">
        <v>863</v>
      </c>
      <c r="R608" s="138"/>
      <c r="S608" s="52"/>
      <c r="T608" s="52"/>
      <c r="U608" s="29" t="s">
        <v>931</v>
      </c>
    </row>
    <row r="609" spans="1:21" outlineLevel="1" x14ac:dyDescent="0.25">
      <c r="A609" s="138">
        <f t="shared" si="25"/>
        <v>41</v>
      </c>
      <c r="B609" s="138"/>
      <c r="C609" s="138" t="s">
        <v>854</v>
      </c>
      <c r="D609" s="29" t="s">
        <v>932</v>
      </c>
      <c r="E609" s="151" t="s">
        <v>933</v>
      </c>
      <c r="F609" s="139"/>
      <c r="G609" s="52"/>
      <c r="H609" s="52"/>
      <c r="I609" s="52"/>
      <c r="J609" s="52"/>
      <c r="K609" s="29" t="str">
        <f t="shared" si="24"/>
        <v/>
      </c>
      <c r="L609" s="158" t="s">
        <v>191</v>
      </c>
      <c r="M609" s="153" t="s">
        <v>117</v>
      </c>
      <c r="N609" s="52"/>
      <c r="O609" s="52"/>
      <c r="P609" s="139"/>
      <c r="Q609" s="139" t="s">
        <v>365</v>
      </c>
      <c r="R609" s="138"/>
      <c r="S609" s="52"/>
      <c r="T609" s="52"/>
      <c r="U609" s="29" t="s">
        <v>863</v>
      </c>
    </row>
    <row r="610" spans="1:21" outlineLevel="1" x14ac:dyDescent="0.25">
      <c r="A610" s="138">
        <f t="shared" si="25"/>
        <v>42</v>
      </c>
      <c r="B610" s="138"/>
      <c r="C610" s="138" t="s">
        <v>716</v>
      </c>
      <c r="D610" s="29" t="s">
        <v>934</v>
      </c>
      <c r="E610" s="29" t="s">
        <v>935</v>
      </c>
      <c r="F610" s="138"/>
      <c r="G610" s="52"/>
      <c r="H610" s="52"/>
      <c r="I610" s="52"/>
      <c r="J610" s="52"/>
      <c r="K610" s="29" t="str">
        <f t="shared" si="24"/>
        <v/>
      </c>
      <c r="L610" s="147" t="s">
        <v>189</v>
      </c>
      <c r="M610" s="148"/>
      <c r="N610" s="52"/>
      <c r="O610" s="52"/>
      <c r="P610" s="139"/>
      <c r="Q610" s="139" t="s">
        <v>365</v>
      </c>
      <c r="R610" s="138"/>
      <c r="S610" s="52"/>
      <c r="T610" s="52"/>
      <c r="U610" s="29" t="s">
        <v>112</v>
      </c>
    </row>
    <row r="611" spans="1:21" outlineLevel="1" x14ac:dyDescent="0.25">
      <c r="A611" s="138">
        <f t="shared" si="25"/>
        <v>43</v>
      </c>
      <c r="B611" s="138"/>
      <c r="C611" s="138" t="s">
        <v>716</v>
      </c>
      <c r="D611" s="29" t="s">
        <v>934</v>
      </c>
      <c r="E611" s="151" t="s">
        <v>936</v>
      </c>
      <c r="F611" s="139"/>
      <c r="G611" s="52"/>
      <c r="H611" s="52"/>
      <c r="I611" s="52"/>
      <c r="J611" s="52"/>
      <c r="K611" s="29" t="str">
        <f t="shared" si="24"/>
        <v/>
      </c>
      <c r="L611" s="158" t="s">
        <v>156</v>
      </c>
      <c r="M611" s="163" t="s">
        <v>155</v>
      </c>
      <c r="N611" s="52"/>
      <c r="O611" s="52"/>
      <c r="P611" s="139"/>
      <c r="Q611" s="139" t="s">
        <v>365</v>
      </c>
      <c r="R611" s="138"/>
      <c r="S611" s="52"/>
      <c r="T611" s="52"/>
      <c r="U611" s="29" t="s">
        <v>863</v>
      </c>
    </row>
    <row r="612" spans="1:21" outlineLevel="1" x14ac:dyDescent="0.25">
      <c r="A612" s="138">
        <f t="shared" si="25"/>
        <v>44</v>
      </c>
      <c r="B612" s="138"/>
      <c r="C612" s="138" t="s">
        <v>716</v>
      </c>
      <c r="D612" s="29" t="s">
        <v>934</v>
      </c>
      <c r="E612" s="151" t="s">
        <v>937</v>
      </c>
      <c r="F612" s="139"/>
      <c r="G612" s="52"/>
      <c r="H612" s="52"/>
      <c r="I612" s="52"/>
      <c r="J612" s="52"/>
      <c r="K612" s="29" t="str">
        <f t="shared" si="24"/>
        <v/>
      </c>
      <c r="L612" s="158" t="s">
        <v>156</v>
      </c>
      <c r="M612" s="163" t="s">
        <v>155</v>
      </c>
      <c r="N612" s="52"/>
      <c r="O612" s="52"/>
      <c r="P612" s="139"/>
      <c r="Q612" s="139" t="s">
        <v>365</v>
      </c>
      <c r="R612" s="138"/>
      <c r="S612" s="52"/>
      <c r="T612" s="52"/>
      <c r="U612" s="29" t="s">
        <v>938</v>
      </c>
    </row>
    <row r="613" spans="1:21" outlineLevel="1" x14ac:dyDescent="0.25">
      <c r="A613" s="138">
        <f t="shared" si="25"/>
        <v>45</v>
      </c>
      <c r="B613" s="138"/>
      <c r="C613" s="138" t="s">
        <v>716</v>
      </c>
      <c r="D613" s="29" t="s">
        <v>934</v>
      </c>
      <c r="E613" s="151" t="s">
        <v>939</v>
      </c>
      <c r="F613" s="139"/>
      <c r="G613" s="52"/>
      <c r="H613" s="52"/>
      <c r="I613" s="52"/>
      <c r="J613" s="52"/>
      <c r="K613" s="29" t="str">
        <f t="shared" si="24"/>
        <v/>
      </c>
      <c r="L613" s="158" t="s">
        <v>156</v>
      </c>
      <c r="M613" s="163" t="s">
        <v>155</v>
      </c>
      <c r="N613" s="52"/>
      <c r="O613" s="52"/>
      <c r="P613" s="139"/>
      <c r="Q613" s="139" t="s">
        <v>365</v>
      </c>
      <c r="R613" s="138"/>
      <c r="S613" s="52"/>
      <c r="T613" s="52"/>
      <c r="U613" s="29" t="s">
        <v>863</v>
      </c>
    </row>
    <row r="614" spans="1:21" s="128" customFormat="1" outlineLevel="1" collapsed="1" x14ac:dyDescent="0.25">
      <c r="A614" s="138">
        <f t="shared" si="25"/>
        <v>46</v>
      </c>
      <c r="B614" s="138"/>
      <c r="C614" s="138" t="s">
        <v>716</v>
      </c>
      <c r="D614" s="29" t="s">
        <v>934</v>
      </c>
      <c r="E614" s="151" t="s">
        <v>940</v>
      </c>
      <c r="F614" s="139"/>
      <c r="G614" s="52"/>
      <c r="H614" s="52"/>
      <c r="I614" s="52"/>
      <c r="J614" s="52"/>
      <c r="K614" s="29" t="str">
        <f t="shared" si="24"/>
        <v/>
      </c>
      <c r="L614" s="158" t="s">
        <v>156</v>
      </c>
      <c r="M614" s="163" t="s">
        <v>155</v>
      </c>
      <c r="N614" s="52"/>
      <c r="O614" s="52"/>
      <c r="P614" s="139"/>
      <c r="Q614" s="139" t="s">
        <v>365</v>
      </c>
      <c r="R614" s="138"/>
      <c r="S614" s="52"/>
      <c r="T614" s="52"/>
      <c r="U614" s="29" t="s">
        <v>863</v>
      </c>
    </row>
    <row r="615" spans="1:21" outlineLevel="1" x14ac:dyDescent="0.25">
      <c r="A615" s="138">
        <f t="shared" si="25"/>
        <v>47</v>
      </c>
      <c r="B615" s="138"/>
      <c r="C615" s="138" t="s">
        <v>716</v>
      </c>
      <c r="D615" s="29" t="s">
        <v>934</v>
      </c>
      <c r="E615" s="151" t="s">
        <v>941</v>
      </c>
      <c r="F615" s="139"/>
      <c r="G615" s="52"/>
      <c r="H615" s="52"/>
      <c r="I615" s="52"/>
      <c r="J615" s="52"/>
      <c r="K615" s="29" t="str">
        <f t="shared" si="24"/>
        <v/>
      </c>
      <c r="L615" s="158" t="s">
        <v>156</v>
      </c>
      <c r="M615" s="163" t="s">
        <v>155</v>
      </c>
      <c r="N615" s="52"/>
      <c r="O615" s="52"/>
      <c r="P615" s="139"/>
      <c r="Q615" s="139" t="s">
        <v>365</v>
      </c>
      <c r="R615" s="138"/>
      <c r="S615" s="52"/>
      <c r="T615" s="52"/>
      <c r="U615" s="29" t="s">
        <v>942</v>
      </c>
    </row>
    <row r="616" spans="1:21" outlineLevel="1" x14ac:dyDescent="0.25">
      <c r="A616" s="138">
        <f t="shared" si="25"/>
        <v>48</v>
      </c>
      <c r="B616" s="138"/>
      <c r="C616" s="138" t="s">
        <v>716</v>
      </c>
      <c r="D616" s="29" t="s">
        <v>934</v>
      </c>
      <c r="E616" s="151" t="s">
        <v>943</v>
      </c>
      <c r="F616" s="139"/>
      <c r="G616" s="52"/>
      <c r="H616" s="52"/>
      <c r="I616" s="52"/>
      <c r="J616" s="52"/>
      <c r="K616" s="29" t="str">
        <f t="shared" si="24"/>
        <v/>
      </c>
      <c r="L616" s="158" t="s">
        <v>156</v>
      </c>
      <c r="M616" s="163" t="s">
        <v>155</v>
      </c>
      <c r="N616" s="52"/>
      <c r="O616" s="52"/>
      <c r="P616" s="139"/>
      <c r="Q616" s="139" t="s">
        <v>365</v>
      </c>
      <c r="R616" s="138"/>
      <c r="S616" s="52"/>
      <c r="T616" s="52"/>
      <c r="U616" s="29" t="s">
        <v>863</v>
      </c>
    </row>
    <row r="617" spans="1:21" outlineLevel="1" x14ac:dyDescent="0.25">
      <c r="A617" s="138">
        <f t="shared" si="25"/>
        <v>49</v>
      </c>
      <c r="B617" s="138"/>
      <c r="C617" s="138" t="s">
        <v>716</v>
      </c>
      <c r="D617" s="29" t="s">
        <v>934</v>
      </c>
      <c r="E617" s="151" t="s">
        <v>944</v>
      </c>
      <c r="F617" s="139"/>
      <c r="G617" s="52"/>
      <c r="H617" s="52"/>
      <c r="I617" s="52"/>
      <c r="J617" s="52"/>
      <c r="K617" s="29" t="str">
        <f t="shared" si="24"/>
        <v/>
      </c>
      <c r="L617" s="158" t="s">
        <v>156</v>
      </c>
      <c r="M617" s="163" t="s">
        <v>155</v>
      </c>
      <c r="N617" s="52"/>
      <c r="O617" s="52"/>
      <c r="P617" s="139"/>
      <c r="Q617" s="139" t="s">
        <v>365</v>
      </c>
      <c r="R617" s="138"/>
      <c r="S617" s="52"/>
      <c r="T617" s="52"/>
      <c r="U617" s="29" t="s">
        <v>945</v>
      </c>
    </row>
    <row r="618" spans="1:21" outlineLevel="1" x14ac:dyDescent="0.25">
      <c r="A618" s="138">
        <f t="shared" si="25"/>
        <v>50</v>
      </c>
      <c r="B618" s="138"/>
      <c r="C618" s="138" t="s">
        <v>716</v>
      </c>
      <c r="D618" s="29" t="s">
        <v>934</v>
      </c>
      <c r="E618" s="151" t="s">
        <v>946</v>
      </c>
      <c r="F618" s="139"/>
      <c r="G618" s="52"/>
      <c r="H618" s="52"/>
      <c r="I618" s="52"/>
      <c r="J618" s="52"/>
      <c r="K618" s="29" t="str">
        <f t="shared" si="24"/>
        <v/>
      </c>
      <c r="L618" s="158" t="s">
        <v>156</v>
      </c>
      <c r="M618" s="163" t="s">
        <v>155</v>
      </c>
      <c r="N618" s="52"/>
      <c r="O618" s="52"/>
      <c r="P618" s="139"/>
      <c r="Q618" s="139" t="s">
        <v>365</v>
      </c>
      <c r="R618" s="138"/>
      <c r="S618" s="52"/>
      <c r="T618" s="52"/>
      <c r="U618" s="29" t="s">
        <v>947</v>
      </c>
    </row>
    <row r="619" spans="1:21" outlineLevel="1" x14ac:dyDescent="0.25">
      <c r="A619" s="138">
        <f t="shared" si="25"/>
        <v>51</v>
      </c>
      <c r="B619" s="138"/>
      <c r="C619" s="138" t="s">
        <v>716</v>
      </c>
      <c r="D619" s="29" t="s">
        <v>934</v>
      </c>
      <c r="E619" s="151" t="s">
        <v>948</v>
      </c>
      <c r="F619" s="139"/>
      <c r="G619" s="52"/>
      <c r="H619" s="52"/>
      <c r="I619" s="52"/>
      <c r="J619" s="52"/>
      <c r="K619" s="29" t="str">
        <f t="shared" si="24"/>
        <v/>
      </c>
      <c r="L619" s="158" t="s">
        <v>156</v>
      </c>
      <c r="M619" s="163" t="s">
        <v>155</v>
      </c>
      <c r="N619" s="52"/>
      <c r="O619" s="52"/>
      <c r="P619" s="139"/>
      <c r="Q619" s="139" t="s">
        <v>365</v>
      </c>
      <c r="R619" s="138"/>
      <c r="S619" s="52"/>
      <c r="T619" s="52"/>
      <c r="U619" s="29" t="s">
        <v>949</v>
      </c>
    </row>
    <row r="620" spans="1:21" outlineLevel="1" x14ac:dyDescent="0.25">
      <c r="A620" s="138">
        <f t="shared" si="25"/>
        <v>52</v>
      </c>
      <c r="B620" s="138"/>
      <c r="C620" s="138" t="s">
        <v>716</v>
      </c>
      <c r="D620" s="29" t="s">
        <v>934</v>
      </c>
      <c r="E620" s="151" t="s">
        <v>950</v>
      </c>
      <c r="F620" s="139"/>
      <c r="G620" s="52"/>
      <c r="H620" s="52"/>
      <c r="I620" s="52"/>
      <c r="J620" s="52"/>
      <c r="K620" s="29" t="str">
        <f t="shared" si="24"/>
        <v/>
      </c>
      <c r="L620" s="158" t="s">
        <v>156</v>
      </c>
      <c r="M620" s="163" t="s">
        <v>155</v>
      </c>
      <c r="N620" s="52"/>
      <c r="O620" s="52"/>
      <c r="P620" s="139"/>
      <c r="Q620" s="139" t="s">
        <v>365</v>
      </c>
      <c r="R620" s="138"/>
      <c r="S620" s="52"/>
      <c r="T620" s="52"/>
      <c r="U620" s="29" t="s">
        <v>951</v>
      </c>
    </row>
    <row r="621" spans="1:21" outlineLevel="1" x14ac:dyDescent="0.25">
      <c r="A621" s="138">
        <f t="shared" si="25"/>
        <v>53</v>
      </c>
      <c r="B621" s="138"/>
      <c r="C621" s="138" t="s">
        <v>716</v>
      </c>
      <c r="D621" s="29" t="s">
        <v>934</v>
      </c>
      <c r="E621" s="151" t="s">
        <v>952</v>
      </c>
      <c r="F621" s="139"/>
      <c r="G621" s="52"/>
      <c r="H621" s="52"/>
      <c r="I621" s="52"/>
      <c r="J621" s="52"/>
      <c r="K621" s="29" t="str">
        <f t="shared" si="24"/>
        <v/>
      </c>
      <c r="L621" s="158" t="s">
        <v>156</v>
      </c>
      <c r="M621" s="163" t="s">
        <v>155</v>
      </c>
      <c r="N621" s="52"/>
      <c r="O621" s="52"/>
      <c r="P621" s="139"/>
      <c r="Q621" s="139" t="s">
        <v>365</v>
      </c>
      <c r="R621" s="138"/>
      <c r="S621" s="52"/>
      <c r="T621" s="52"/>
      <c r="U621" s="29" t="s">
        <v>953</v>
      </c>
    </row>
    <row r="622" spans="1:21" outlineLevel="1" x14ac:dyDescent="0.25">
      <c r="A622" s="138">
        <f t="shared" si="25"/>
        <v>54</v>
      </c>
      <c r="B622" s="138"/>
      <c r="C622" s="138" t="s">
        <v>716</v>
      </c>
      <c r="D622" s="29" t="s">
        <v>934</v>
      </c>
      <c r="E622" s="151" t="s">
        <v>954</v>
      </c>
      <c r="F622" s="139"/>
      <c r="G622" s="52"/>
      <c r="H622" s="52"/>
      <c r="I622" s="52"/>
      <c r="J622" s="52"/>
      <c r="K622" s="29" t="str">
        <f t="shared" si="24"/>
        <v/>
      </c>
      <c r="L622" s="158" t="s">
        <v>167</v>
      </c>
      <c r="M622" s="164" t="s">
        <v>166</v>
      </c>
      <c r="N622" s="52"/>
      <c r="O622" s="52"/>
      <c r="P622" s="144"/>
      <c r="Q622" s="144" t="s">
        <v>857</v>
      </c>
      <c r="R622" s="145"/>
      <c r="S622" s="52"/>
      <c r="T622" s="52"/>
      <c r="U622" s="29" t="s">
        <v>955</v>
      </c>
    </row>
    <row r="623" spans="1:21" outlineLevel="1" x14ac:dyDescent="0.25">
      <c r="A623" s="138">
        <f t="shared" si="25"/>
        <v>55</v>
      </c>
      <c r="B623" s="138"/>
      <c r="C623" s="138" t="s">
        <v>716</v>
      </c>
      <c r="D623" s="29" t="s">
        <v>934</v>
      </c>
      <c r="E623" s="151" t="s">
        <v>956</v>
      </c>
      <c r="F623" s="139"/>
      <c r="G623" s="52"/>
      <c r="H623" s="52"/>
      <c r="I623" s="52"/>
      <c r="J623" s="52"/>
      <c r="K623" s="29" t="str">
        <f t="shared" si="24"/>
        <v/>
      </c>
      <c r="L623" s="158" t="s">
        <v>156</v>
      </c>
      <c r="M623" s="163" t="s">
        <v>155</v>
      </c>
      <c r="N623" s="52"/>
      <c r="O623" s="52"/>
      <c r="P623" s="139"/>
      <c r="Q623" s="139" t="s">
        <v>365</v>
      </c>
      <c r="R623" s="138"/>
      <c r="S623" s="52"/>
      <c r="T623" s="52"/>
      <c r="U623" s="29" t="s">
        <v>957</v>
      </c>
    </row>
    <row r="624" spans="1:21" outlineLevel="1" x14ac:dyDescent="0.25">
      <c r="A624" s="138">
        <f t="shared" si="25"/>
        <v>56</v>
      </c>
      <c r="B624" s="138"/>
      <c r="C624" s="138" t="s">
        <v>716</v>
      </c>
      <c r="D624" s="29" t="s">
        <v>934</v>
      </c>
      <c r="E624" s="151" t="s">
        <v>958</v>
      </c>
      <c r="F624" s="139"/>
      <c r="G624" s="52"/>
      <c r="H624" s="52"/>
      <c r="I624" s="52"/>
      <c r="J624" s="52"/>
      <c r="K624" s="29" t="str">
        <f t="shared" si="24"/>
        <v/>
      </c>
      <c r="L624" s="158" t="s">
        <v>156</v>
      </c>
      <c r="M624" s="163" t="s">
        <v>155</v>
      </c>
      <c r="N624" s="52"/>
      <c r="O624" s="52"/>
      <c r="P624" s="139"/>
      <c r="Q624" s="139" t="s">
        <v>365</v>
      </c>
      <c r="R624" s="138"/>
      <c r="S624" s="52"/>
      <c r="T624" s="52"/>
      <c r="U624" s="29" t="s">
        <v>959</v>
      </c>
    </row>
    <row r="625" spans="1:21" outlineLevel="1" x14ac:dyDescent="0.25">
      <c r="A625" s="138">
        <f t="shared" si="25"/>
        <v>57</v>
      </c>
      <c r="B625" s="138"/>
      <c r="C625" s="138" t="s">
        <v>716</v>
      </c>
      <c r="D625" s="29" t="s">
        <v>934</v>
      </c>
      <c r="E625" s="151" t="s">
        <v>960</v>
      </c>
      <c r="F625" s="139"/>
      <c r="G625" s="52"/>
      <c r="H625" s="52"/>
      <c r="I625" s="52"/>
      <c r="J625" s="52"/>
      <c r="K625" s="29" t="str">
        <f t="shared" si="24"/>
        <v/>
      </c>
      <c r="L625" s="158" t="s">
        <v>156</v>
      </c>
      <c r="M625" s="163" t="s">
        <v>155</v>
      </c>
      <c r="N625" s="52"/>
      <c r="O625" s="52"/>
      <c r="P625" s="139"/>
      <c r="Q625" s="139" t="s">
        <v>365</v>
      </c>
      <c r="R625" s="138"/>
      <c r="S625" s="52"/>
      <c r="T625" s="52"/>
      <c r="U625" s="29" t="s">
        <v>961</v>
      </c>
    </row>
    <row r="626" spans="1:21" outlineLevel="1" x14ac:dyDescent="0.25">
      <c r="A626" s="138">
        <f t="shared" si="25"/>
        <v>58</v>
      </c>
      <c r="B626" s="138"/>
      <c r="C626" s="138" t="s">
        <v>716</v>
      </c>
      <c r="D626" s="29" t="s">
        <v>934</v>
      </c>
      <c r="E626" s="151" t="s">
        <v>962</v>
      </c>
      <c r="F626" s="139"/>
      <c r="G626" s="52"/>
      <c r="H626" s="52"/>
      <c r="I626" s="52"/>
      <c r="J626" s="52"/>
      <c r="K626" s="29" t="str">
        <f t="shared" si="24"/>
        <v/>
      </c>
      <c r="L626" s="158" t="s">
        <v>156</v>
      </c>
      <c r="M626" s="163" t="s">
        <v>155</v>
      </c>
      <c r="N626" s="52"/>
      <c r="O626" s="52"/>
      <c r="P626" s="139"/>
      <c r="Q626" s="139" t="s">
        <v>365</v>
      </c>
      <c r="R626" s="138"/>
      <c r="S626" s="52"/>
      <c r="T626" s="52"/>
      <c r="U626" s="29" t="s">
        <v>963</v>
      </c>
    </row>
    <row r="627" spans="1:21" outlineLevel="1" x14ac:dyDescent="0.25">
      <c r="A627" s="138">
        <f t="shared" si="25"/>
        <v>59</v>
      </c>
      <c r="B627" s="141"/>
      <c r="C627" s="138" t="s">
        <v>854</v>
      </c>
      <c r="D627" s="29" t="s">
        <v>934</v>
      </c>
      <c r="E627" s="29" t="s">
        <v>964</v>
      </c>
      <c r="F627" s="138"/>
      <c r="G627" s="52"/>
      <c r="H627" s="52"/>
      <c r="I627" s="52"/>
      <c r="J627" s="52"/>
      <c r="K627" s="29" t="str">
        <f t="shared" si="24"/>
        <v/>
      </c>
      <c r="L627" s="147" t="s">
        <v>150</v>
      </c>
      <c r="M627" s="148"/>
      <c r="N627" s="52"/>
      <c r="O627" s="52"/>
      <c r="P627" s="139"/>
      <c r="Q627" s="139" t="s">
        <v>365</v>
      </c>
      <c r="R627" s="138"/>
      <c r="S627" s="52"/>
      <c r="T627" s="52"/>
      <c r="U627" s="29" t="s">
        <v>149</v>
      </c>
    </row>
    <row r="628" spans="1:21" outlineLevel="1" x14ac:dyDescent="0.25">
      <c r="A628" s="138">
        <f t="shared" si="25"/>
        <v>60</v>
      </c>
      <c r="B628" s="138"/>
      <c r="C628" s="138" t="s">
        <v>854</v>
      </c>
      <c r="D628" s="29" t="s">
        <v>934</v>
      </c>
      <c r="E628" s="29" t="s">
        <v>965</v>
      </c>
      <c r="F628" s="138"/>
      <c r="G628" s="52"/>
      <c r="H628" s="52"/>
      <c r="I628" s="52"/>
      <c r="J628" s="52"/>
      <c r="K628" s="29" t="str">
        <f t="shared" si="24"/>
        <v/>
      </c>
      <c r="L628" s="165" t="s">
        <v>850</v>
      </c>
      <c r="M628" s="155" t="s">
        <v>851</v>
      </c>
      <c r="N628" s="52"/>
      <c r="O628" s="52"/>
      <c r="P628" s="139"/>
      <c r="Q628" s="139" t="s">
        <v>365</v>
      </c>
      <c r="R628" s="138"/>
      <c r="S628" s="52"/>
      <c r="T628" s="52"/>
      <c r="U628" s="29" t="s">
        <v>863</v>
      </c>
    </row>
    <row r="629" spans="1:21" outlineLevel="1" x14ac:dyDescent="0.25">
      <c r="A629" s="138">
        <f t="shared" si="25"/>
        <v>61</v>
      </c>
      <c r="B629" s="138"/>
      <c r="C629" s="138" t="s">
        <v>854</v>
      </c>
      <c r="D629" s="29" t="s">
        <v>966</v>
      </c>
      <c r="E629" s="29" t="s">
        <v>967</v>
      </c>
      <c r="F629" s="142"/>
      <c r="G629" s="52"/>
      <c r="H629" s="52"/>
      <c r="I629" s="52"/>
      <c r="J629" s="52"/>
      <c r="K629" s="29" t="str">
        <f t="shared" si="24"/>
        <v/>
      </c>
      <c r="L629" s="147" t="s">
        <v>141</v>
      </c>
      <c r="M629" s="153"/>
      <c r="N629" s="52"/>
      <c r="O629" s="52"/>
      <c r="P629" s="139"/>
      <c r="Q629" s="139" t="s">
        <v>365</v>
      </c>
      <c r="R629" s="138"/>
      <c r="S629" s="52"/>
      <c r="T629" s="52"/>
      <c r="U629" s="29" t="s">
        <v>863</v>
      </c>
    </row>
    <row r="630" spans="1:21" outlineLevel="1" x14ac:dyDescent="0.25">
      <c r="A630" s="138">
        <f t="shared" si="25"/>
        <v>62</v>
      </c>
      <c r="B630" s="138"/>
      <c r="C630" s="138" t="s">
        <v>854</v>
      </c>
      <c r="D630" s="29" t="s">
        <v>968</v>
      </c>
      <c r="E630" s="29" t="s">
        <v>969</v>
      </c>
      <c r="F630" s="138"/>
      <c r="G630" s="52"/>
      <c r="H630" s="52"/>
      <c r="I630" s="52"/>
      <c r="J630" s="52"/>
      <c r="K630" s="29" t="str">
        <f t="shared" si="24"/>
        <v/>
      </c>
      <c r="L630" s="147" t="s">
        <v>138</v>
      </c>
      <c r="M630" s="153"/>
      <c r="N630" s="52"/>
      <c r="O630" s="52"/>
      <c r="P630" s="139"/>
      <c r="Q630" s="139" t="s">
        <v>365</v>
      </c>
      <c r="R630" s="138"/>
      <c r="S630" s="52"/>
      <c r="T630" s="52"/>
      <c r="U630" s="29" t="s">
        <v>863</v>
      </c>
    </row>
    <row r="631" spans="1:21" outlineLevel="1" x14ac:dyDescent="0.25">
      <c r="A631" s="138">
        <f t="shared" si="25"/>
        <v>63</v>
      </c>
      <c r="B631" s="138"/>
      <c r="C631" s="138" t="s">
        <v>854</v>
      </c>
      <c r="D631" s="29" t="s">
        <v>970</v>
      </c>
      <c r="E631" s="29" t="s">
        <v>971</v>
      </c>
      <c r="F631" s="142"/>
      <c r="G631" s="52"/>
      <c r="H631" s="52"/>
      <c r="I631" s="52"/>
      <c r="J631" s="52"/>
      <c r="K631" s="29" t="str">
        <f t="shared" si="24"/>
        <v/>
      </c>
      <c r="L631" s="147" t="s">
        <v>132</v>
      </c>
      <c r="M631" s="148"/>
      <c r="N631" s="52"/>
      <c r="O631" s="52"/>
      <c r="P631" s="139"/>
      <c r="Q631" s="139" t="s">
        <v>365</v>
      </c>
      <c r="R631" s="138"/>
      <c r="S631" s="52"/>
      <c r="T631" s="52"/>
      <c r="U631" s="29" t="s">
        <v>863</v>
      </c>
    </row>
    <row r="632" spans="1:21" outlineLevel="1" x14ac:dyDescent="0.25">
      <c r="A632" s="138">
        <f t="shared" si="25"/>
        <v>64</v>
      </c>
      <c r="B632" s="138"/>
      <c r="C632" s="138" t="s">
        <v>854</v>
      </c>
      <c r="D632" s="29" t="s">
        <v>972</v>
      </c>
      <c r="E632" s="29" t="s">
        <v>973</v>
      </c>
      <c r="F632" s="142"/>
      <c r="G632" s="52"/>
      <c r="H632" s="52"/>
      <c r="I632" s="52"/>
      <c r="J632" s="52"/>
      <c r="K632" s="29" t="str">
        <f t="shared" si="24"/>
        <v/>
      </c>
      <c r="L632" s="147" t="s">
        <v>132</v>
      </c>
      <c r="M632" s="148"/>
      <c r="N632" s="52"/>
      <c r="O632" s="52"/>
      <c r="P632" s="139"/>
      <c r="Q632" s="139" t="s">
        <v>365</v>
      </c>
      <c r="R632" s="138"/>
      <c r="S632" s="52"/>
      <c r="T632" s="52"/>
      <c r="U632" s="29" t="s">
        <v>863</v>
      </c>
    </row>
    <row r="633" spans="1:21" outlineLevel="1" x14ac:dyDescent="0.25">
      <c r="A633" s="138">
        <f t="shared" si="25"/>
        <v>65</v>
      </c>
      <c r="B633" s="138"/>
      <c r="C633" s="138" t="s">
        <v>864</v>
      </c>
      <c r="D633" s="29" t="s">
        <v>974</v>
      </c>
      <c r="E633" s="151" t="s">
        <v>975</v>
      </c>
      <c r="F633" s="139"/>
      <c r="G633" s="52"/>
      <c r="H633" s="52"/>
      <c r="I633" s="52"/>
      <c r="J633" s="52"/>
      <c r="K633" s="29" t="str">
        <f t="shared" si="24"/>
        <v/>
      </c>
      <c r="L633" s="158" t="s">
        <v>128</v>
      </c>
      <c r="M633" s="153" t="s">
        <v>225</v>
      </c>
      <c r="N633" s="52"/>
      <c r="O633" s="52"/>
      <c r="P633" s="139"/>
      <c r="Q633" s="139" t="s">
        <v>365</v>
      </c>
      <c r="R633" s="138"/>
      <c r="S633" s="52"/>
      <c r="T633" s="52"/>
      <c r="U633" s="29" t="s">
        <v>863</v>
      </c>
    </row>
    <row r="634" spans="1:21" outlineLevel="1" x14ac:dyDescent="0.25">
      <c r="A634" s="138">
        <f t="shared" si="25"/>
        <v>66</v>
      </c>
      <c r="B634" s="138"/>
      <c r="C634" s="138" t="s">
        <v>976</v>
      </c>
      <c r="D634" s="29" t="s">
        <v>668</v>
      </c>
      <c r="E634" s="151" t="s">
        <v>977</v>
      </c>
      <c r="F634" s="139"/>
      <c r="G634" s="52"/>
      <c r="H634" s="52"/>
      <c r="I634" s="52"/>
      <c r="J634" s="52"/>
      <c r="K634" s="29" t="str">
        <f t="shared" ref="K634:K645" si="26">PROPER(F634)</f>
        <v/>
      </c>
      <c r="L634" s="158" t="s">
        <v>122</v>
      </c>
      <c r="M634" s="153" t="s">
        <v>117</v>
      </c>
      <c r="N634" s="52"/>
      <c r="O634" s="52"/>
      <c r="P634" s="139"/>
      <c r="Q634" s="139" t="s">
        <v>365</v>
      </c>
      <c r="R634" s="138"/>
      <c r="S634" s="52"/>
      <c r="T634" s="52"/>
      <c r="U634" s="29" t="s">
        <v>978</v>
      </c>
    </row>
    <row r="635" spans="1:21" outlineLevel="1" x14ac:dyDescent="0.25">
      <c r="A635" s="138">
        <f t="shared" ref="A635:A645" si="27">A634+1</f>
        <v>67</v>
      </c>
      <c r="B635" s="141"/>
      <c r="C635" s="138" t="s">
        <v>854</v>
      </c>
      <c r="D635" s="29" t="s">
        <v>668</v>
      </c>
      <c r="E635" s="29" t="s">
        <v>979</v>
      </c>
      <c r="F635" s="138"/>
      <c r="G635" s="52"/>
      <c r="H635" s="52"/>
      <c r="I635" s="52"/>
      <c r="J635" s="52"/>
      <c r="K635" s="29" t="str">
        <f t="shared" si="26"/>
        <v/>
      </c>
      <c r="L635" s="158" t="s">
        <v>118</v>
      </c>
      <c r="M635" s="153" t="s">
        <v>117</v>
      </c>
      <c r="N635" s="52"/>
      <c r="O635" s="52"/>
      <c r="P635" s="139"/>
      <c r="Q635" s="139" t="s">
        <v>365</v>
      </c>
      <c r="R635" s="138"/>
      <c r="S635" s="52"/>
      <c r="T635" s="52"/>
      <c r="U635" s="29" t="s">
        <v>980</v>
      </c>
    </row>
    <row r="636" spans="1:21" outlineLevel="1" x14ac:dyDescent="0.25">
      <c r="A636" s="138">
        <f t="shared" si="27"/>
        <v>68</v>
      </c>
      <c r="B636" s="138"/>
      <c r="C636" s="138" t="s">
        <v>803</v>
      </c>
      <c r="D636" s="29" t="s">
        <v>668</v>
      </c>
      <c r="E636" s="29" t="s">
        <v>981</v>
      </c>
      <c r="F636" s="138"/>
      <c r="G636" s="52"/>
      <c r="H636" s="52"/>
      <c r="I636" s="52"/>
      <c r="J636" s="52"/>
      <c r="K636" s="29" t="str">
        <f t="shared" si="26"/>
        <v/>
      </c>
      <c r="L636" s="147" t="s">
        <v>101</v>
      </c>
      <c r="M636" s="148" t="s">
        <v>112</v>
      </c>
      <c r="N636" s="52"/>
      <c r="O636" s="52"/>
      <c r="P636" s="139"/>
      <c r="Q636" s="139" t="s">
        <v>365</v>
      </c>
      <c r="R636" s="138"/>
      <c r="S636" s="52"/>
      <c r="T636" s="52"/>
      <c r="U636" s="29" t="s">
        <v>982</v>
      </c>
    </row>
    <row r="637" spans="1:21" outlineLevel="1" x14ac:dyDescent="0.25">
      <c r="A637" s="138">
        <f t="shared" si="27"/>
        <v>69</v>
      </c>
      <c r="B637" s="138"/>
      <c r="C637" s="138" t="s">
        <v>803</v>
      </c>
      <c r="D637" s="29" t="s">
        <v>668</v>
      </c>
      <c r="E637" s="29" t="s">
        <v>983</v>
      </c>
      <c r="F637" s="138"/>
      <c r="G637" s="52"/>
      <c r="H637" s="52"/>
      <c r="I637" s="52"/>
      <c r="J637" s="52"/>
      <c r="K637" s="29" t="str">
        <f t="shared" si="26"/>
        <v/>
      </c>
      <c r="L637" s="147" t="s">
        <v>106</v>
      </c>
      <c r="M637" s="148" t="s">
        <v>112</v>
      </c>
      <c r="N637" s="52"/>
      <c r="O637" s="52"/>
      <c r="P637" s="139"/>
      <c r="Q637" s="139" t="s">
        <v>365</v>
      </c>
      <c r="R637" s="138"/>
      <c r="S637" s="52"/>
      <c r="T637" s="52"/>
      <c r="U637" s="29" t="s">
        <v>984</v>
      </c>
    </row>
    <row r="638" spans="1:21" outlineLevel="1" x14ac:dyDescent="0.25">
      <c r="A638" s="138">
        <f t="shared" si="27"/>
        <v>70</v>
      </c>
      <c r="B638" s="138"/>
      <c r="C638" s="138" t="s">
        <v>976</v>
      </c>
      <c r="D638" s="29" t="s">
        <v>668</v>
      </c>
      <c r="E638" s="29" t="s">
        <v>985</v>
      </c>
      <c r="F638" s="138"/>
      <c r="G638" s="52"/>
      <c r="H638" s="52"/>
      <c r="I638" s="52"/>
      <c r="J638" s="52"/>
      <c r="K638" s="29" t="str">
        <f t="shared" si="26"/>
        <v/>
      </c>
      <c r="L638" s="147" t="s">
        <v>106</v>
      </c>
      <c r="M638" s="148"/>
      <c r="N638" s="52"/>
      <c r="O638" s="52"/>
      <c r="P638" s="139"/>
      <c r="Q638" s="139" t="s">
        <v>365</v>
      </c>
      <c r="R638" s="138"/>
      <c r="S638" s="52"/>
      <c r="T638" s="52"/>
      <c r="U638" s="29" t="s">
        <v>986</v>
      </c>
    </row>
    <row r="639" spans="1:21" outlineLevel="1" x14ac:dyDescent="0.25">
      <c r="A639" s="138">
        <f t="shared" si="27"/>
        <v>71</v>
      </c>
      <c r="B639" s="138"/>
      <c r="C639" s="138" t="s">
        <v>976</v>
      </c>
      <c r="D639" s="29" t="s">
        <v>668</v>
      </c>
      <c r="E639" s="29" t="s">
        <v>987</v>
      </c>
      <c r="F639" s="138"/>
      <c r="G639" s="52"/>
      <c r="H639" s="52"/>
      <c r="I639" s="52"/>
      <c r="J639" s="52"/>
      <c r="K639" s="29" t="str">
        <f t="shared" si="26"/>
        <v/>
      </c>
      <c r="L639" s="147" t="s">
        <v>101</v>
      </c>
      <c r="M639" s="148"/>
      <c r="N639" s="52"/>
      <c r="O639" s="52"/>
      <c r="P639" s="139"/>
      <c r="Q639" s="139" t="s">
        <v>365</v>
      </c>
      <c r="R639" s="138"/>
      <c r="S639" s="52"/>
      <c r="T639" s="52"/>
      <c r="U639" s="29" t="s">
        <v>988</v>
      </c>
    </row>
    <row r="640" spans="1:21" s="174" customFormat="1" outlineLevel="1" x14ac:dyDescent="0.25">
      <c r="A640" s="145">
        <f t="shared" si="27"/>
        <v>72</v>
      </c>
      <c r="B640" s="170"/>
      <c r="C640" s="145" t="s">
        <v>854</v>
      </c>
      <c r="D640" s="171" t="s">
        <v>1001</v>
      </c>
      <c r="E640" s="171" t="s">
        <v>1002</v>
      </c>
      <c r="F640" s="145"/>
      <c r="G640" s="170"/>
      <c r="H640" s="170"/>
      <c r="I640" s="170"/>
      <c r="J640" s="170"/>
      <c r="K640" s="171" t="str">
        <f t="shared" si="26"/>
        <v/>
      </c>
      <c r="L640" s="172" t="s">
        <v>67</v>
      </c>
      <c r="M640" s="173" t="s">
        <v>66</v>
      </c>
      <c r="N640" s="170"/>
      <c r="O640" s="170"/>
      <c r="P640" s="145"/>
      <c r="Q640" s="145" t="s">
        <v>365</v>
      </c>
      <c r="R640" s="145"/>
      <c r="S640" s="170"/>
      <c r="T640" s="170"/>
      <c r="U640" s="171" t="s">
        <v>1003</v>
      </c>
    </row>
    <row r="641" spans="1:21" s="174" customFormat="1" outlineLevel="1" x14ac:dyDescent="0.25">
      <c r="A641" s="145">
        <f t="shared" si="27"/>
        <v>73</v>
      </c>
      <c r="B641" s="170"/>
      <c r="C641" s="145" t="s">
        <v>854</v>
      </c>
      <c r="D641" s="171" t="s">
        <v>1001</v>
      </c>
      <c r="E641" s="171" t="s">
        <v>1002</v>
      </c>
      <c r="F641" s="145"/>
      <c r="G641" s="170"/>
      <c r="H641" s="170"/>
      <c r="I641" s="170"/>
      <c r="J641" s="170"/>
      <c r="K641" s="171" t="str">
        <f t="shared" si="26"/>
        <v/>
      </c>
      <c r="L641" s="172" t="s">
        <v>67</v>
      </c>
      <c r="M641" s="173" t="s">
        <v>66</v>
      </c>
      <c r="N641" s="170"/>
      <c r="O641" s="170"/>
      <c r="P641" s="145"/>
      <c r="Q641" s="145" t="s">
        <v>365</v>
      </c>
      <c r="R641" s="145"/>
      <c r="S641" s="170"/>
      <c r="T641" s="170"/>
      <c r="U641" s="171" t="s">
        <v>1003</v>
      </c>
    </row>
    <row r="642" spans="1:21" s="174" customFormat="1" outlineLevel="1" x14ac:dyDescent="0.25">
      <c r="A642" s="145">
        <f t="shared" si="27"/>
        <v>74</v>
      </c>
      <c r="B642" s="170"/>
      <c r="C642" s="145" t="s">
        <v>854</v>
      </c>
      <c r="D642" s="171" t="s">
        <v>1001</v>
      </c>
      <c r="E642" s="171" t="s">
        <v>1002</v>
      </c>
      <c r="F642" s="145"/>
      <c r="G642" s="170"/>
      <c r="H642" s="170"/>
      <c r="I642" s="170"/>
      <c r="J642" s="170"/>
      <c r="K642" s="171" t="str">
        <f t="shared" si="26"/>
        <v/>
      </c>
      <c r="L642" s="172" t="s">
        <v>67</v>
      </c>
      <c r="M642" s="173" t="s">
        <v>66</v>
      </c>
      <c r="N642" s="170"/>
      <c r="O642" s="170"/>
      <c r="P642" s="145"/>
      <c r="Q642" s="145" t="s">
        <v>365</v>
      </c>
      <c r="R642" s="145"/>
      <c r="S642" s="170"/>
      <c r="T642" s="170"/>
      <c r="U642" s="171" t="s">
        <v>1003</v>
      </c>
    </row>
    <row r="643" spans="1:21" s="174" customFormat="1" outlineLevel="1" x14ac:dyDescent="0.25">
      <c r="A643" s="145">
        <f t="shared" si="27"/>
        <v>75</v>
      </c>
      <c r="B643" s="170"/>
      <c r="C643" s="145" t="s">
        <v>854</v>
      </c>
      <c r="D643" s="171" t="s">
        <v>1001</v>
      </c>
      <c r="E643" s="171" t="s">
        <v>1002</v>
      </c>
      <c r="F643" s="145"/>
      <c r="G643" s="170"/>
      <c r="H643" s="170"/>
      <c r="I643" s="170"/>
      <c r="J643" s="170"/>
      <c r="K643" s="171" t="str">
        <f t="shared" si="26"/>
        <v/>
      </c>
      <c r="L643" s="172" t="s">
        <v>67</v>
      </c>
      <c r="M643" s="173" t="s">
        <v>66</v>
      </c>
      <c r="N643" s="170"/>
      <c r="O643" s="170"/>
      <c r="P643" s="145"/>
      <c r="Q643" s="145" t="s">
        <v>365</v>
      </c>
      <c r="R643" s="145"/>
      <c r="S643" s="170"/>
      <c r="T643" s="170"/>
      <c r="U643" s="171" t="s">
        <v>1003</v>
      </c>
    </row>
    <row r="644" spans="1:21" s="174" customFormat="1" outlineLevel="1" x14ac:dyDescent="0.25">
      <c r="A644" s="145">
        <f t="shared" si="27"/>
        <v>76</v>
      </c>
      <c r="B644" s="170"/>
      <c r="C644" s="145" t="s">
        <v>854</v>
      </c>
      <c r="D644" s="171" t="s">
        <v>1001</v>
      </c>
      <c r="E644" s="171" t="s">
        <v>1002</v>
      </c>
      <c r="F644" s="145"/>
      <c r="G644" s="170"/>
      <c r="H644" s="170"/>
      <c r="I644" s="170"/>
      <c r="J644" s="170"/>
      <c r="K644" s="171" t="str">
        <f t="shared" si="26"/>
        <v/>
      </c>
      <c r="L644" s="172" t="s">
        <v>67</v>
      </c>
      <c r="M644" s="173" t="s">
        <v>66</v>
      </c>
      <c r="N644" s="170"/>
      <c r="O644" s="170"/>
      <c r="P644" s="145"/>
      <c r="Q644" s="145" t="s">
        <v>365</v>
      </c>
      <c r="R644" s="145"/>
      <c r="S644" s="170"/>
      <c r="T644" s="170"/>
      <c r="U644" s="171" t="s">
        <v>1003</v>
      </c>
    </row>
    <row r="645" spans="1:21" outlineLevel="1" x14ac:dyDescent="0.25">
      <c r="A645" s="138">
        <f t="shared" si="27"/>
        <v>77</v>
      </c>
      <c r="B645" s="52"/>
      <c r="C645" s="138" t="s">
        <v>854</v>
      </c>
      <c r="D645" s="29" t="s">
        <v>1001</v>
      </c>
      <c r="E645" s="29" t="s">
        <v>1004</v>
      </c>
      <c r="F645" s="138"/>
      <c r="G645" s="52"/>
      <c r="H645" s="52"/>
      <c r="I645" s="52"/>
      <c r="J645" s="52"/>
      <c r="K645" s="29" t="str">
        <f t="shared" si="26"/>
        <v/>
      </c>
      <c r="L645" s="149" t="s">
        <v>61</v>
      </c>
      <c r="M645" s="166" t="s">
        <v>60</v>
      </c>
      <c r="N645" s="52"/>
      <c r="O645" s="52"/>
      <c r="P645" s="139"/>
      <c r="Q645" s="139" t="s">
        <v>1005</v>
      </c>
      <c r="R645" s="146"/>
      <c r="S645" s="52"/>
      <c r="T645" s="52"/>
      <c r="U645" s="29" t="s">
        <v>1006</v>
      </c>
    </row>
    <row r="646" spans="1:21" s="114" customFormat="1" x14ac:dyDescent="0.25">
      <c r="A646" s="118">
        <v>77</v>
      </c>
      <c r="B646" s="118" t="s">
        <v>852</v>
      </c>
      <c r="D646" s="115"/>
      <c r="E646" s="115"/>
    </row>
    <row r="647" spans="1:21" outlineLevel="1" x14ac:dyDescent="0.25">
      <c r="A647" s="138">
        <v>1</v>
      </c>
      <c r="B647" s="138"/>
      <c r="C647" s="138" t="s">
        <v>860</v>
      </c>
      <c r="D647" s="29" t="s">
        <v>989</v>
      </c>
      <c r="E647" s="29" t="s">
        <v>990</v>
      </c>
      <c r="F647" s="138"/>
      <c r="G647" s="52"/>
      <c r="H647" s="52"/>
      <c r="I647" s="52"/>
      <c r="J647" s="52"/>
      <c r="K647" s="29" t="str">
        <f t="shared" ref="K647:K652" si="28">PROPER(F647)</f>
        <v/>
      </c>
      <c r="L647" s="147" t="s">
        <v>97</v>
      </c>
      <c r="M647" s="153" t="s">
        <v>96</v>
      </c>
      <c r="N647" s="52"/>
      <c r="O647" s="52"/>
      <c r="P647" s="139"/>
      <c r="Q647" s="139" t="s">
        <v>365</v>
      </c>
      <c r="R647" s="138"/>
      <c r="S647" s="52"/>
      <c r="T647" s="52"/>
      <c r="U647" s="29" t="s">
        <v>991</v>
      </c>
    </row>
    <row r="648" spans="1:21" outlineLevel="1" x14ac:dyDescent="0.25">
      <c r="A648" s="138">
        <f>A647+1</f>
        <v>2</v>
      </c>
      <c r="B648" s="138"/>
      <c r="C648" s="138" t="s">
        <v>860</v>
      </c>
      <c r="D648" s="29" t="s">
        <v>989</v>
      </c>
      <c r="E648" s="29" t="s">
        <v>990</v>
      </c>
      <c r="F648" s="138"/>
      <c r="G648" s="52"/>
      <c r="H648" s="52"/>
      <c r="I648" s="52"/>
      <c r="J648" s="52"/>
      <c r="K648" s="29" t="str">
        <f t="shared" si="28"/>
        <v/>
      </c>
      <c r="L648" s="147" t="s">
        <v>93</v>
      </c>
      <c r="M648" s="156" t="s">
        <v>92</v>
      </c>
      <c r="N648" s="52"/>
      <c r="O648" s="52"/>
      <c r="P648" s="139"/>
      <c r="Q648" s="139" t="s">
        <v>365</v>
      </c>
      <c r="R648" s="138"/>
      <c r="S648" s="52"/>
      <c r="T648" s="52"/>
      <c r="U648" s="29" t="s">
        <v>992</v>
      </c>
    </row>
    <row r="649" spans="1:21" outlineLevel="1" x14ac:dyDescent="0.25">
      <c r="A649" s="138">
        <f t="shared" ref="A649:A652" si="29">A648+1</f>
        <v>3</v>
      </c>
      <c r="B649" s="138"/>
      <c r="C649" s="138" t="s">
        <v>860</v>
      </c>
      <c r="D649" s="29" t="s">
        <v>989</v>
      </c>
      <c r="E649" s="29" t="s">
        <v>990</v>
      </c>
      <c r="F649" s="138"/>
      <c r="G649" s="52"/>
      <c r="H649" s="52"/>
      <c r="I649" s="52"/>
      <c r="J649" s="52"/>
      <c r="K649" s="29" t="str">
        <f t="shared" si="28"/>
        <v/>
      </c>
      <c r="L649" s="147" t="s">
        <v>87</v>
      </c>
      <c r="M649" s="156" t="s">
        <v>86</v>
      </c>
      <c r="N649" s="52"/>
      <c r="O649" s="52"/>
      <c r="P649" s="139"/>
      <c r="Q649" s="139" t="s">
        <v>365</v>
      </c>
      <c r="R649" s="138"/>
      <c r="S649" s="52"/>
      <c r="T649" s="52"/>
      <c r="U649" s="29" t="s">
        <v>993</v>
      </c>
    </row>
    <row r="650" spans="1:21" outlineLevel="1" x14ac:dyDescent="0.25">
      <c r="A650" s="138">
        <f t="shared" si="29"/>
        <v>4</v>
      </c>
      <c r="B650" s="138"/>
      <c r="C650" s="138" t="s">
        <v>860</v>
      </c>
      <c r="D650" s="29" t="s">
        <v>994</v>
      </c>
      <c r="E650" s="29" t="s">
        <v>995</v>
      </c>
      <c r="F650" s="138"/>
      <c r="G650" s="52"/>
      <c r="H650" s="52"/>
      <c r="I650" s="52"/>
      <c r="J650" s="52"/>
      <c r="K650" s="29" t="str">
        <f t="shared" si="28"/>
        <v/>
      </c>
      <c r="L650" s="147" t="s">
        <v>83</v>
      </c>
      <c r="M650" s="156" t="s">
        <v>77</v>
      </c>
      <c r="N650" s="52"/>
      <c r="O650" s="52"/>
      <c r="P650" s="139"/>
      <c r="Q650" s="139" t="s">
        <v>365</v>
      </c>
      <c r="R650" s="138"/>
      <c r="S650" s="52"/>
      <c r="T650" s="52"/>
      <c r="U650" s="29" t="s">
        <v>996</v>
      </c>
    </row>
    <row r="651" spans="1:21" outlineLevel="1" x14ac:dyDescent="0.25">
      <c r="A651" s="138">
        <f t="shared" si="29"/>
        <v>5</v>
      </c>
      <c r="B651" s="138"/>
      <c r="C651" s="138" t="s">
        <v>860</v>
      </c>
      <c r="D651" s="29" t="s">
        <v>994</v>
      </c>
      <c r="E651" s="29" t="s">
        <v>995</v>
      </c>
      <c r="F651" s="138"/>
      <c r="G651" s="52"/>
      <c r="H651" s="52"/>
      <c r="I651" s="52"/>
      <c r="J651" s="52"/>
      <c r="K651" s="29" t="str">
        <f t="shared" si="28"/>
        <v/>
      </c>
      <c r="L651" s="147" t="s">
        <v>78</v>
      </c>
      <c r="M651" s="156" t="s">
        <v>77</v>
      </c>
      <c r="N651" s="52"/>
      <c r="O651" s="52"/>
      <c r="P651" s="139"/>
      <c r="Q651" s="139" t="s">
        <v>365</v>
      </c>
      <c r="R651" s="138"/>
      <c r="S651" s="52"/>
      <c r="T651" s="52"/>
      <c r="U651" s="29" t="s">
        <v>997</v>
      </c>
    </row>
    <row r="652" spans="1:21" outlineLevel="1" x14ac:dyDescent="0.25">
      <c r="A652" s="138">
        <f t="shared" si="29"/>
        <v>6</v>
      </c>
      <c r="B652" s="138"/>
      <c r="C652" s="138" t="s">
        <v>860</v>
      </c>
      <c r="D652" s="29" t="s">
        <v>998</v>
      </c>
      <c r="E652" s="29" t="s">
        <v>999</v>
      </c>
      <c r="F652" s="138"/>
      <c r="G652" s="52"/>
      <c r="H652" s="52"/>
      <c r="I652" s="52"/>
      <c r="J652" s="52"/>
      <c r="K652" s="29" t="str">
        <f t="shared" si="28"/>
        <v/>
      </c>
      <c r="L652" s="147" t="s">
        <v>73</v>
      </c>
      <c r="M652" s="153" t="s">
        <v>72</v>
      </c>
      <c r="N652" s="52"/>
      <c r="O652" s="52"/>
      <c r="P652" s="144"/>
      <c r="Q652" s="144" t="s">
        <v>857</v>
      </c>
      <c r="R652" s="144"/>
      <c r="S652" s="52"/>
      <c r="T652" s="52"/>
      <c r="U652" s="29" t="s">
        <v>1000</v>
      </c>
    </row>
    <row r="653" spans="1:21" s="114" customFormat="1" x14ac:dyDescent="0.25">
      <c r="A653" s="118">
        <v>6</v>
      </c>
      <c r="B653" s="118" t="s">
        <v>853</v>
      </c>
      <c r="D653" s="115"/>
      <c r="E653" s="115"/>
    </row>
    <row r="654" spans="1:21" ht="48" outlineLevel="1" x14ac:dyDescent="0.25">
      <c r="A654" s="177" t="s">
        <v>1018</v>
      </c>
      <c r="B654" s="178" t="s">
        <v>1019</v>
      </c>
      <c r="C654" s="177" t="s">
        <v>1020</v>
      </c>
      <c r="D654" s="177" t="s">
        <v>1021</v>
      </c>
      <c r="E654" s="178" t="s">
        <v>1022</v>
      </c>
      <c r="F654" s="178" t="s">
        <v>1023</v>
      </c>
      <c r="G654" s="178" t="s">
        <v>1024</v>
      </c>
      <c r="H654" s="178" t="s">
        <v>1025</v>
      </c>
      <c r="I654" s="178" t="s">
        <v>1026</v>
      </c>
      <c r="J654" s="178" t="s">
        <v>249</v>
      </c>
      <c r="K654" s="178">
        <v>2020</v>
      </c>
      <c r="L654" s="178">
        <v>2025</v>
      </c>
      <c r="M654" s="178" t="s">
        <v>1027</v>
      </c>
      <c r="N654" s="178" t="s">
        <v>132</v>
      </c>
      <c r="O654" s="178" t="s">
        <v>737</v>
      </c>
      <c r="P654" s="178" t="s">
        <v>365</v>
      </c>
      <c r="Q654" s="178" t="s">
        <v>1028</v>
      </c>
      <c r="R654" s="178" t="s">
        <v>1029</v>
      </c>
      <c r="S654" s="178" t="s">
        <v>1030</v>
      </c>
    </row>
    <row r="655" spans="1:21" ht="48" outlineLevel="1" x14ac:dyDescent="0.25">
      <c r="A655" s="177" t="s">
        <v>1018</v>
      </c>
      <c r="B655" s="178" t="s">
        <v>1031</v>
      </c>
      <c r="C655" s="177" t="s">
        <v>1032</v>
      </c>
      <c r="D655" s="177" t="s">
        <v>1033</v>
      </c>
      <c r="E655" s="178" t="s">
        <v>1022</v>
      </c>
      <c r="F655" s="178" t="s">
        <v>1023</v>
      </c>
      <c r="G655" s="178" t="s">
        <v>1024</v>
      </c>
      <c r="H655" s="178" t="s">
        <v>1025</v>
      </c>
      <c r="I655" s="178" t="s">
        <v>1026</v>
      </c>
      <c r="J655" s="178" t="s">
        <v>196</v>
      </c>
      <c r="K655" s="178">
        <v>2019</v>
      </c>
      <c r="L655" s="178">
        <v>2024</v>
      </c>
      <c r="M655" s="178" t="s">
        <v>195</v>
      </c>
      <c r="N655" s="178" t="s">
        <v>737</v>
      </c>
      <c r="O655" s="178" t="s">
        <v>737</v>
      </c>
      <c r="P655" s="178" t="s">
        <v>365</v>
      </c>
      <c r="Q655" s="178" t="s">
        <v>1028</v>
      </c>
      <c r="R655" s="178" t="s">
        <v>1029</v>
      </c>
      <c r="S655" s="178" t="s">
        <v>1030</v>
      </c>
    </row>
    <row r="656" spans="1:21" outlineLevel="1" x14ac:dyDescent="0.25">
      <c r="A656" s="189"/>
      <c r="B656" s="190"/>
      <c r="C656" s="189"/>
      <c r="D656" s="191" t="s">
        <v>1047</v>
      </c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</row>
    <row r="657" spans="1:19" outlineLevel="1" x14ac:dyDescent="0.25">
      <c r="A657" s="189"/>
      <c r="B657" s="190"/>
      <c r="C657" s="189"/>
      <c r="D657" s="191" t="s">
        <v>1048</v>
      </c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</row>
    <row r="658" spans="1:19" outlineLevel="1" x14ac:dyDescent="0.25">
      <c r="A658" s="189"/>
      <c r="B658" s="190"/>
      <c r="C658" s="189"/>
      <c r="D658" s="191" t="s">
        <v>1049</v>
      </c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</row>
    <row r="659" spans="1:19" outlineLevel="1" x14ac:dyDescent="0.25">
      <c r="A659" s="189"/>
      <c r="B659" s="190"/>
      <c r="C659" s="189"/>
      <c r="D659" s="191" t="s">
        <v>1050</v>
      </c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</row>
    <row r="660" spans="1:19" outlineLevel="1" x14ac:dyDescent="0.25">
      <c r="A660" s="189"/>
      <c r="B660" s="190"/>
      <c r="C660" s="189"/>
      <c r="D660" s="191" t="s">
        <v>1051</v>
      </c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</row>
    <row r="661" spans="1:19" s="114" customFormat="1" x14ac:dyDescent="0.25">
      <c r="A661" s="118">
        <v>7</v>
      </c>
      <c r="B661" s="118" t="s">
        <v>1034</v>
      </c>
      <c r="D661" s="115"/>
      <c r="E661" s="115"/>
    </row>
    <row r="662" spans="1:19" outlineLevel="1" x14ac:dyDescent="0.25"/>
    <row r="663" spans="1:19" outlineLevel="1" x14ac:dyDescent="0.25">
      <c r="A663" s="129"/>
    </row>
    <row r="664" spans="1:19" outlineLevel="1" x14ac:dyDescent="0.25">
      <c r="A664" s="129"/>
      <c r="B664" s="129"/>
      <c r="D664" s="129" t="s">
        <v>687</v>
      </c>
      <c r="E664" s="96" t="s">
        <v>1043</v>
      </c>
    </row>
    <row r="665" spans="1:19" outlineLevel="1" x14ac:dyDescent="0.25">
      <c r="A665" s="129"/>
      <c r="E665" s="96" t="s">
        <v>1044</v>
      </c>
    </row>
    <row r="666" spans="1:19" outlineLevel="1" x14ac:dyDescent="0.25">
      <c r="B666" s="129" t="s">
        <v>309</v>
      </c>
    </row>
    <row r="667" spans="1:19" outlineLevel="1" x14ac:dyDescent="0.25">
      <c r="D667" s="129" t="s">
        <v>1045</v>
      </c>
    </row>
    <row r="668" spans="1:19" s="187" customFormat="1" x14ac:dyDescent="0.25">
      <c r="A668" s="186"/>
      <c r="B668" s="186" t="s">
        <v>309</v>
      </c>
      <c r="D668" s="188"/>
      <c r="E668" s="188"/>
    </row>
    <row r="669" spans="1:19" outlineLevel="1" x14ac:dyDescent="0.25"/>
    <row r="670" spans="1:19" outlineLevel="1" x14ac:dyDescent="0.25">
      <c r="B670" s="174" t="s">
        <v>1046</v>
      </c>
    </row>
    <row r="671" spans="1:19" outlineLevel="1" x14ac:dyDescent="0.25"/>
    <row r="672" spans="1:19" s="187" customFormat="1" x14ac:dyDescent="0.25">
      <c r="A672" s="186"/>
      <c r="B672" s="186" t="s">
        <v>125</v>
      </c>
      <c r="D672" s="188"/>
      <c r="E672" s="188"/>
    </row>
    <row r="674" spans="1:5" x14ac:dyDescent="0.25">
      <c r="B674" s="174" t="s">
        <v>1057</v>
      </c>
    </row>
    <row r="677" spans="1:5" s="187" customFormat="1" x14ac:dyDescent="0.25">
      <c r="A677" s="186"/>
      <c r="B677" s="186" t="s">
        <v>235</v>
      </c>
      <c r="D677" s="188"/>
      <c r="E677" s="188"/>
    </row>
  </sheetData>
  <mergeCells count="12">
    <mergeCell ref="H3:J3"/>
    <mergeCell ref="K3:K4"/>
    <mergeCell ref="D455:D457"/>
    <mergeCell ref="D3:D4"/>
    <mergeCell ref="E3:E4"/>
    <mergeCell ref="F3:F4"/>
    <mergeCell ref="G3:G4"/>
    <mergeCell ref="L3:M3"/>
    <mergeCell ref="N3:N4"/>
    <mergeCell ref="O3:P3"/>
    <mergeCell ref="Q3:Q4"/>
    <mergeCell ref="R3:T3"/>
  </mergeCells>
  <conditionalFormatting sqref="M569">
    <cfRule type="cellIs" priority="1" stopIfTrue="1" operator="greaterThan">
      <formula>"13.11.2018"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</vt:lpstr>
      <vt:lpstr>Land &amp; Mining</vt:lpstr>
      <vt:lpstr>Plant</vt:lpstr>
      <vt:lpstr>BRL</vt:lpstr>
      <vt:lpstr>UCL</vt:lpstr>
      <vt:lpstr>Compliance Master - Operations</vt:lpstr>
      <vt:lpstr>Compliance Matser - Mining</vt:lpstr>
      <vt:lpstr>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Biswajeet Mallik</cp:lastModifiedBy>
  <cp:lastPrinted>2022-09-14T07:34:02Z</cp:lastPrinted>
  <dcterms:created xsi:type="dcterms:W3CDTF">2019-09-12T13:54:57Z</dcterms:created>
  <dcterms:modified xsi:type="dcterms:W3CDTF">2025-12-12T09:16:43Z</dcterms:modified>
</cp:coreProperties>
</file>